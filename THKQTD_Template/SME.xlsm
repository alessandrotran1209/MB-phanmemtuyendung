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10" codeName="{C80E003A-6C80-AF87-3323-10F97C11A349}"/>
  <workbookPr codeName="ThisWorkbook"/>
  <mc:AlternateContent xmlns:mc="http://schemas.openxmlformats.org/markup-compatibility/2006">
    <mc:Choice Requires="x15">
      <x15ac:absPath xmlns:x15ac="http://schemas.microsoft.com/office/spreadsheetml/2010/11/ac" url="/Users/tuong/Desktop/"/>
    </mc:Choice>
  </mc:AlternateContent>
  <xr:revisionPtr revIDLastSave="0" documentId="13_ncr:1_{CAB53B95-4677-A949-BDC3-74F314E44BD3}" xr6:coauthVersionLast="47" xr6:coauthVersionMax="47" xr10:uidLastSave="{00000000-0000-0000-0000-000000000000}"/>
  <bookViews>
    <workbookView xWindow="0" yWindow="760" windowWidth="33500" windowHeight="21100" xr2:uid="{00000000-000D-0000-FFFF-FFFF00000000}"/>
  </bookViews>
  <sheets>
    <sheet name="Data" sheetId="1" r:id="rId1"/>
    <sheet name="Sheet2" sheetId="3" r:id="rId2"/>
    <sheet name="Sheet1" sheetId="2" r:id="rId3"/>
  </sheets>
  <definedNames>
    <definedName name="_xlnm.Print_Area" localSheetId="0">Data!$A$1:$P$38</definedName>
    <definedName name="_xlnm.Print_Titles" localSheetId="0">Data!$14:$15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9" i="1" l="1"/>
  <c r="C2" i="3" l="1"/>
  <c r="C3" i="3"/>
  <c r="C4" i="3"/>
  <c r="C5" i="3"/>
  <c r="C6" i="3"/>
  <c r="C7" i="3"/>
  <c r="C8" i="3"/>
  <c r="C9" i="3"/>
  <c r="C10" i="3"/>
  <c r="C11" i="3"/>
  <c r="C12" i="3"/>
  <c r="C13" i="3"/>
  <c r="C14" i="3"/>
  <c r="C15" i="3"/>
  <c r="C1" i="3"/>
  <c r="E11" i="1"/>
  <c r="H11" i="1" l="1"/>
</calcChain>
</file>

<file path=xl/sharedStrings.xml><?xml version="1.0" encoding="utf-8"?>
<sst xmlns="http://schemas.openxmlformats.org/spreadsheetml/2006/main" count="55" uniqueCount="55">
  <si>
    <t>TỔNG HỢP KẾT QUẢ TUYỂN DỤNG</t>
  </si>
  <si>
    <t>ĐƠN VỊ</t>
  </si>
  <si>
    <t>Tổng số UV trình phê duyệt:</t>
  </si>
  <si>
    <t>VỊ TRÍ</t>
  </si>
  <si>
    <t>Số UV Đạt theo quy định:</t>
  </si>
  <si>
    <t>NGÀY</t>
  </si>
  <si>
    <t>TT</t>
  </si>
  <si>
    <t xml:space="preserve">HỌ VÀ </t>
  </si>
  <si>
    <t>TÊN</t>
  </si>
  <si>
    <t>NGÀY SINH</t>
  </si>
  <si>
    <t>TRƯỜNG TỐT NGHIỆP</t>
  </si>
  <si>
    <t>CHUYÊN NGÀNH</t>
  </si>
  <si>
    <t>Định
biên</t>
  </si>
  <si>
    <t>Cần bổ sung</t>
  </si>
  <si>
    <t>KẾT QUẢ TUYỂN DỤNG</t>
  </si>
  <si>
    <t>THÔNG TIN
GHI CHÚ</t>
  </si>
  <si>
    <t>ĐỊA ĐIỂM</t>
  </si>
  <si>
    <t>Hội sở/Chi nhánh</t>
  </si>
  <si>
    <t>MÃ HỘI ĐỒNG PHỎNG VẤN</t>
  </si>
  <si>
    <t>KINH NGHIỆM</t>
  </si>
  <si>
    <t>Điểm Thi viết</t>
  </si>
  <si>
    <t>Điểm Phỏng vấn</t>
  </si>
  <si>
    <t>Số lượng hiện tại</t>
  </si>
  <si>
    <t>- Đối với nhóm ứng viên bên ngoài có kinh nghiệm tại các ngân hàng, tổ chức lớn cần thu hút hoặc nhóm ứng viên nội bộ có kết quả phỏng vấn được Lãnh đạo đơn vị tiếp nhận đánh giá tốt: Đề xuất Tổng Giám đốc ủy quyền cho Giám đốc Nhân sự quyết định áp dụng phụ cấp thu hút, các loại phụ cấp, đãi ngộ, thưởng thành tích trước hạn, ngoại lệ (nếu cần).</t>
  </si>
  <si>
    <t/>
  </si>
  <si>
    <t>Đề xuất tiếp nhận</t>
  </si>
  <si>
    <t>CÁC CHI NHÁNH TRONG HỆ THỐNG</t>
  </si>
  <si>
    <t>2022.TD.8.57</t>
  </si>
  <si>
    <t xml:space="preserve">Phạm Thị Minh </t>
  </si>
  <si>
    <t>Xuân</t>
  </si>
  <si>
    <t>07/10/1995</t>
  </si>
  <si>
    <t>Tài Chính - Ngân Hàng</t>
  </si>
  <si>
    <t>09/2020 - 04/2021: Chuyên viên QHKH Doanh Nghiệp - Ngân hàng TMCP Á Châu - Chi nhánh Cộng Hòa
05/2019 - 04/2020: Chuyên viên QHKH Doanh Nghiệp - Ngân hàng TMCP Nam Á - Chi nhánh Quang Trung
04/2018 - 03/2019: Chuyên viên QHKH Doanh Nghiệp - Ngân hàng TMCP An Bình - PGD Bắc Sài Gòn</t>
  </si>
  <si>
    <t>Chuyên viên Khách hàng Doanh nghiệp Level 1 - Phòng Khách hàng Doanh nghiệp - CN. Hồ Chí Minh</t>
  </si>
  <si>
    <t>Đại Học Kinh Tế TP HCM</t>
  </si>
  <si>
    <t>Điểm Ngoại hình</t>
  </si>
  <si>
    <t>Số UV không đạt tiêu chuẩn tuyển dụng</t>
  </si>
  <si>
    <t>Vũ Hồng Phú</t>
  </si>
  <si>
    <t>THÀNH VIÊN BAN ĐIỀU HÀNH PHỤ TRÁCH KHỐI SME</t>
  </si>
  <si>
    <t>CHUYÊN VIÊN KHÁCH HÀNG DOANH NGHIỆP</t>
  </si>
  <si>
    <t>MA HOI DONG PHONG VAN</t>
  </si>
  <si>
    <t xml:space="preserve">HO VA </t>
  </si>
  <si>
    <t>TEN</t>
  </si>
  <si>
    <t>NGAY SINH</t>
  </si>
  <si>
    <t>TRUONG TOT NGHIEP</t>
  </si>
  <si>
    <t>CHUYEN NGANH</t>
  </si>
  <si>
    <t>KINH NGHIEM</t>
  </si>
  <si>
    <t>Diem Thi viet</t>
  </si>
  <si>
    <t>Diem Ngoai hinh</t>
  </si>
  <si>
    <t>Diem Phong van</t>
  </si>
  <si>
    <t>So luong hien tai</t>
  </si>
  <si>
    <t>Can bo sung</t>
  </si>
  <si>
    <t>KET QUA TUYEN DUNG</t>
  </si>
  <si>
    <t>THONG TIN
GHI CHU</t>
  </si>
  <si>
    <t>Dinh bien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</si>
</sst>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sz val="12"/>
      <color rgb="FF000000"/>
      <name val="Times New Roman"/>
      <family val="1"/>
    </font>
    <font>
      <sz val="9"/>
      <color rgb="FF000000"/>
      <name val="Times New Roman"/>
      <family val="1"/>
    </font>
    <font>
      <b/>
      <sz val="15"/>
      <color rgb="FF000000"/>
      <name val="Times New Roman"/>
      <family val="1"/>
    </font>
    <font>
      <b/>
      <sz val="9"/>
      <color rgb="FF000000"/>
      <name val="Times New Roman"/>
      <family val="1"/>
    </font>
    <font>
      <b/>
      <sz val="16"/>
      <color rgb="FF000000"/>
      <name val="Times New Roman"/>
      <family val="1"/>
    </font>
    <font>
      <b/>
      <sz val="12"/>
      <color rgb="FF000000"/>
      <name val="Times New Roman"/>
      <family val="1"/>
    </font>
    <font>
      <b/>
      <sz val="11"/>
      <color theme="1"/>
      <name val="Times New Roman"/>
      <family val="1"/>
    </font>
    <font>
      <sz val="11"/>
      <color theme="1"/>
      <name val="Times New Roman"/>
      <family val="1"/>
    </font>
    <font>
      <b/>
      <sz val="11"/>
      <color rgb="FF000000"/>
      <name val="Times New Roman"/>
      <family val="1"/>
    </font>
    <font>
      <b/>
      <sz val="10"/>
      <color rgb="FF000000"/>
      <name val="Times New Roman"/>
      <family val="1"/>
    </font>
    <font>
      <sz val="11"/>
      <color rgb="FF000000"/>
      <name val="Calibri"/>
      <family val="2"/>
    </font>
    <font>
      <sz val="10.5"/>
      <color theme="1"/>
      <name val="Times New Roman"/>
      <family val="1"/>
    </font>
    <font>
      <sz val="10.5"/>
      <color theme="1"/>
      <name val="Calibri Light"/>
      <family val="1"/>
      <scheme val="major"/>
    </font>
    <font>
      <sz val="8"/>
      <name val="Calibri"/>
      <family val="2"/>
      <scheme val="minor"/>
    </font>
    <font>
      <sz val="8"/>
      <color rgb="FF000000"/>
      <name val="Segoe UI"/>
      <charset val="1"/>
    </font>
  </fonts>
  <fills count="8">
    <fill>
      <patternFill patternType="none"/>
    </fill>
    <fill>
      <patternFill patternType="gray125"/>
    </fill>
    <fill>
      <patternFill patternType="solid">
        <fgColor rgb="FFFFFFFF"/>
        <bgColor rgb="FF000000"/>
      </patternFill>
    </fill>
    <fill>
      <patternFill patternType="solid">
        <fgColor indexed="9"/>
        <bgColor indexed="64"/>
      </patternFill>
    </fill>
    <fill>
      <patternFill patternType="solid">
        <fgColor rgb="FFA0D2FF"/>
        <bgColor rgb="FF000000"/>
      </patternFill>
    </fill>
    <fill>
      <patternFill patternType="solid">
        <fgColor theme="0"/>
        <bgColor indexed="64"/>
      </patternFill>
    </fill>
    <fill>
      <patternFill patternType="solid">
        <fgColor theme="0"/>
        <bgColor rgb="FF000000"/>
      </patternFill>
    </fill>
    <fill>
      <patternFill patternType="solid">
        <fgColor rgb="FFFFFF00"/>
        <bgColor indexed="64"/>
      </patternFill>
    </fill>
  </fills>
  <borders count="9">
    <border>
      <left/>
      <right/>
      <top/>
      <bottom/>
      <diagonal/>
    </border>
    <border>
      <left style="hair">
        <color auto="1"/>
      </left>
      <right style="hair">
        <color auto="1"/>
      </right>
      <top style="hair">
        <color auto="1"/>
      </top>
      <bottom style="hair">
        <color auto="1"/>
      </bottom>
      <diagonal/>
    </border>
    <border>
      <left/>
      <right/>
      <top style="hair">
        <color auto="1"/>
      </top>
      <bottom/>
      <diagonal/>
    </border>
    <border>
      <left style="hair">
        <color auto="1"/>
      </left>
      <right/>
      <top style="hair">
        <color auto="1"/>
      </top>
      <bottom/>
      <diagonal/>
    </border>
    <border>
      <left style="hair">
        <color auto="1"/>
      </left>
      <right/>
      <top/>
      <bottom style="hair">
        <color auto="1"/>
      </bottom>
      <diagonal/>
    </border>
    <border>
      <left/>
      <right/>
      <top/>
      <bottom style="hair">
        <color auto="1"/>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hair">
        <color indexed="64"/>
      </bottom>
      <diagonal/>
    </border>
  </borders>
  <cellStyleXfs count="1">
    <xf numFmtId="0" fontId="0" fillId="0" borderId="0"/>
  </cellStyleXfs>
  <cellXfs count="64">
    <xf numFmtId="0" fontId="0" fillId="0" borderId="0" xfId="0"/>
    <xf numFmtId="0" fontId="1" fillId="2" borderId="0" xfId="0" applyFont="1" applyFill="1" applyAlignment="1" applyProtection="1">
      <alignment horizontal="center" vertical="center" wrapText="1"/>
      <protection locked="0"/>
    </xf>
    <xf numFmtId="0" fontId="2" fillId="2" borderId="0" xfId="0" applyFont="1" applyFill="1" applyAlignment="1" applyProtection="1">
      <alignment horizontal="center" vertical="center" wrapText="1"/>
      <protection locked="0"/>
    </xf>
    <xf numFmtId="0" fontId="1" fillId="2" borderId="0" xfId="0" applyFont="1" applyFill="1" applyAlignment="1" applyProtection="1">
      <alignment horizontal="left" vertical="center" wrapText="1"/>
      <protection locked="0"/>
    </xf>
    <xf numFmtId="2" fontId="1" fillId="2" borderId="0" xfId="0" applyNumberFormat="1" applyFont="1" applyFill="1" applyAlignment="1" applyProtection="1">
      <alignment horizontal="center" vertical="center" wrapText="1"/>
      <protection locked="0"/>
    </xf>
    <xf numFmtId="1" fontId="1" fillId="2" borderId="0" xfId="0" applyNumberFormat="1" applyFont="1" applyFill="1" applyAlignment="1" applyProtection="1">
      <alignment horizontal="center" vertical="center" wrapText="1"/>
      <protection locked="0"/>
    </xf>
    <xf numFmtId="0" fontId="3" fillId="2" borderId="0" xfId="0" applyFont="1" applyFill="1" applyAlignment="1" applyProtection="1">
      <alignment vertical="center"/>
      <protection locked="0"/>
    </xf>
    <xf numFmtId="0" fontId="4" fillId="2" borderId="0" xfId="0" applyFont="1" applyFill="1" applyAlignment="1" applyProtection="1">
      <alignment horizontal="center" vertical="center" wrapText="1"/>
      <protection locked="0"/>
    </xf>
    <xf numFmtId="0" fontId="3" fillId="2" borderId="0" xfId="0" applyFont="1" applyFill="1" applyAlignment="1" applyProtection="1">
      <alignment vertical="center" wrapText="1"/>
      <protection locked="0"/>
    </xf>
    <xf numFmtId="0" fontId="5" fillId="2" borderId="0" xfId="0" applyFont="1" applyFill="1" applyAlignment="1" applyProtection="1">
      <alignment horizontal="center" vertical="center" wrapText="1"/>
      <protection locked="0"/>
    </xf>
    <xf numFmtId="0" fontId="6" fillId="2" borderId="0" xfId="0" applyFont="1" applyFill="1" applyAlignment="1" applyProtection="1">
      <alignment horizontal="left" vertical="center"/>
      <protection locked="0"/>
    </xf>
    <xf numFmtId="0" fontId="6" fillId="2" borderId="0" xfId="0" applyFont="1" applyFill="1" applyAlignment="1" applyProtection="1">
      <alignment horizontal="center" vertical="center" wrapText="1"/>
      <protection locked="0"/>
    </xf>
    <xf numFmtId="0" fontId="6" fillId="2" borderId="0" xfId="0" applyFont="1" applyFill="1" applyAlignment="1" applyProtection="1">
      <alignment vertical="center"/>
      <protection locked="0"/>
    </xf>
    <xf numFmtId="0" fontId="7" fillId="3" borderId="0" xfId="0" applyFont="1" applyFill="1" applyAlignment="1" applyProtection="1">
      <alignment vertical="center" wrapText="1"/>
      <protection locked="0"/>
    </xf>
    <xf numFmtId="0" fontId="9" fillId="2" borderId="0" xfId="0" applyFont="1" applyFill="1" applyAlignment="1" applyProtection="1">
      <alignment horizontal="center" vertical="center" wrapText="1"/>
      <protection locked="0"/>
    </xf>
    <xf numFmtId="0" fontId="9" fillId="2" borderId="0" xfId="0" applyFont="1" applyFill="1" applyAlignment="1" applyProtection="1">
      <alignment horizontal="left" vertical="center" wrapText="1"/>
      <protection locked="0"/>
    </xf>
    <xf numFmtId="0" fontId="9" fillId="2" borderId="0" xfId="0" applyFont="1" applyFill="1" applyAlignment="1" applyProtection="1">
      <alignment vertical="center" wrapText="1"/>
      <protection locked="0"/>
    </xf>
    <xf numFmtId="0" fontId="9" fillId="2" borderId="0" xfId="0" applyFont="1" applyFill="1" applyAlignment="1" applyProtection="1">
      <alignment horizontal="left" vertical="center"/>
      <protection locked="0"/>
    </xf>
    <xf numFmtId="0" fontId="7" fillId="3" borderId="0" xfId="0" applyFont="1" applyFill="1" applyAlignment="1" applyProtection="1">
      <alignment vertical="center"/>
      <protection locked="0"/>
    </xf>
    <xf numFmtId="0" fontId="8" fillId="3" borderId="0" xfId="0" applyFont="1" applyFill="1" applyAlignment="1" applyProtection="1">
      <alignment vertical="center"/>
      <protection locked="0"/>
    </xf>
    <xf numFmtId="0" fontId="0" fillId="0" borderId="0" xfId="0" quotePrefix="1"/>
    <xf numFmtId="0" fontId="12" fillId="0" borderId="1" xfId="0" applyFont="1" applyBorder="1" applyAlignment="1">
      <alignment horizontal="center" vertical="center" wrapText="1"/>
    </xf>
    <xf numFmtId="14" fontId="12" fillId="0" borderId="1" xfId="0" quotePrefix="1" applyNumberFormat="1" applyFont="1" applyBorder="1" applyAlignment="1">
      <alignment horizontal="left" vertical="center" wrapText="1"/>
    </xf>
    <xf numFmtId="0" fontId="12" fillId="0" borderId="1" xfId="0" applyFont="1" applyBorder="1" applyAlignment="1">
      <alignment horizontal="left" vertical="center" wrapText="1"/>
    </xf>
    <xf numFmtId="0" fontId="8" fillId="0" borderId="0" xfId="0" applyFont="1"/>
    <xf numFmtId="14" fontId="12" fillId="0" borderId="1" xfId="0" applyNumberFormat="1" applyFont="1" applyBorder="1" applyAlignment="1">
      <alignment horizontal="center" vertical="center" wrapText="1"/>
    </xf>
    <xf numFmtId="164" fontId="12" fillId="0" borderId="1" xfId="0" applyNumberFormat="1" applyFont="1" applyBorder="1" applyAlignment="1">
      <alignment horizontal="center" vertical="center" wrapText="1"/>
    </xf>
    <xf numFmtId="0" fontId="12" fillId="7" borderId="1" xfId="0" applyFont="1" applyFill="1" applyBorder="1" applyAlignment="1">
      <alignment horizontal="center" vertical="center" wrapText="1"/>
    </xf>
    <xf numFmtId="49" fontId="1" fillId="2" borderId="0" xfId="0" applyNumberFormat="1" applyFont="1" applyFill="1" applyAlignment="1" applyProtection="1">
      <alignment horizontal="center" vertical="center" wrapText="1"/>
      <protection locked="0"/>
    </xf>
    <xf numFmtId="49" fontId="3" fillId="2" borderId="0" xfId="0" applyNumberFormat="1" applyFont="1" applyFill="1" applyAlignment="1" applyProtection="1">
      <alignment vertical="center" wrapText="1"/>
      <protection locked="0"/>
    </xf>
    <xf numFmtId="49" fontId="5" fillId="2" borderId="0" xfId="0" applyNumberFormat="1" applyFont="1" applyFill="1" applyAlignment="1" applyProtection="1">
      <alignment horizontal="center" vertical="center" wrapText="1"/>
      <protection locked="0"/>
    </xf>
    <xf numFmtId="49" fontId="6" fillId="2" borderId="0" xfId="0" applyNumberFormat="1" applyFont="1" applyFill="1" applyAlignment="1" applyProtection="1">
      <alignment horizontal="center" vertical="center" wrapText="1"/>
      <protection locked="0"/>
    </xf>
    <xf numFmtId="49" fontId="0" fillId="0" borderId="0" xfId="0" applyNumberFormat="1"/>
    <xf numFmtId="0" fontId="7" fillId="3" borderId="0" xfId="0" applyFont="1" applyFill="1" applyAlignment="1" applyProtection="1">
      <alignment horizontal="center" vertical="center" wrapText="1"/>
      <protection locked="0"/>
    </xf>
    <xf numFmtId="0" fontId="9" fillId="2" borderId="0" xfId="0" applyFont="1" applyFill="1" applyAlignment="1" applyProtection="1">
      <alignment vertical="center"/>
      <protection locked="0"/>
    </xf>
    <xf numFmtId="49" fontId="9" fillId="2" borderId="0" xfId="0" applyNumberFormat="1" applyFont="1" applyFill="1" applyAlignment="1" applyProtection="1">
      <alignment vertical="center" wrapText="1"/>
      <protection locked="0"/>
    </xf>
    <xf numFmtId="0" fontId="9" fillId="2" borderId="5" xfId="0" applyFont="1" applyFill="1" applyBorder="1" applyAlignment="1" applyProtection="1">
      <alignment vertical="center"/>
      <protection locked="0"/>
    </xf>
    <xf numFmtId="0" fontId="9" fillId="2" borderId="5" xfId="0" applyFont="1" applyFill="1" applyBorder="1" applyAlignment="1" applyProtection="1">
      <alignment horizontal="left" vertical="center"/>
      <protection locked="0"/>
    </xf>
    <xf numFmtId="0" fontId="6" fillId="6" borderId="0" xfId="0" applyFont="1" applyFill="1" applyAlignment="1" applyProtection="1">
      <alignment horizontal="center" vertical="center" wrapText="1"/>
      <protection locked="0"/>
    </xf>
    <xf numFmtId="0" fontId="6" fillId="2" borderId="0" xfId="0" applyFont="1" applyFill="1" applyAlignment="1" applyProtection="1">
      <alignment horizontal="left" vertical="center" wrapText="1"/>
      <protection locked="0"/>
    </xf>
    <xf numFmtId="0" fontId="13" fillId="0" borderId="1" xfId="0" applyFont="1" applyBorder="1" applyAlignment="1">
      <alignment horizontal="center" vertical="center" wrapText="1"/>
    </xf>
    <xf numFmtId="14" fontId="13" fillId="0" borderId="1" xfId="0" quotePrefix="1" applyNumberFormat="1" applyFont="1" applyBorder="1" applyAlignment="1">
      <alignment horizontal="left" vertical="center" wrapText="1"/>
    </xf>
    <xf numFmtId="0" fontId="13" fillId="0" borderId="1" xfId="0" applyFont="1" applyBorder="1" applyAlignment="1">
      <alignment horizontal="left" vertical="center" wrapText="1"/>
    </xf>
    <xf numFmtId="14" fontId="13" fillId="0" borderId="1" xfId="0" applyNumberFormat="1" applyFont="1" applyBorder="1" applyAlignment="1">
      <alignment horizontal="center" vertical="center" wrapText="1"/>
    </xf>
    <xf numFmtId="0" fontId="6" fillId="6" borderId="0" xfId="0" applyFont="1" applyFill="1" applyAlignment="1" applyProtection="1">
      <alignment horizontal="center" vertical="center" wrapText="1"/>
      <protection locked="0"/>
    </xf>
    <xf numFmtId="0" fontId="0" fillId="5" borderId="2" xfId="0" applyFill="1" applyBorder="1" applyAlignment="1">
      <alignment horizontal="left" vertical="center" wrapText="1"/>
    </xf>
    <xf numFmtId="0" fontId="10" fillId="4" borderId="1" xfId="0" applyFont="1" applyFill="1" applyBorder="1" applyAlignment="1" applyProtection="1">
      <alignment horizontal="center" vertical="center" wrapText="1"/>
      <protection locked="0"/>
    </xf>
    <xf numFmtId="49" fontId="10" fillId="4" borderId="1" xfId="0" applyNumberFormat="1" applyFont="1" applyFill="1" applyBorder="1" applyAlignment="1" applyProtection="1">
      <alignment horizontal="center" vertical="center" wrapText="1"/>
      <protection locked="0"/>
    </xf>
    <xf numFmtId="2" fontId="10" fillId="4" borderId="1" xfId="0" applyNumberFormat="1" applyFont="1" applyFill="1" applyBorder="1" applyAlignment="1" applyProtection="1">
      <alignment horizontal="center" vertical="center" wrapText="1"/>
      <protection locked="0"/>
    </xf>
    <xf numFmtId="0" fontId="6" fillId="2" borderId="0" xfId="0" applyFont="1" applyFill="1" applyAlignment="1" applyProtection="1">
      <alignment horizontal="left" vertical="center" wrapText="1"/>
      <protection locked="0"/>
    </xf>
    <xf numFmtId="1" fontId="10" fillId="4" borderId="1" xfId="0" applyNumberFormat="1" applyFont="1" applyFill="1" applyBorder="1" applyAlignment="1" applyProtection="1">
      <alignment horizontal="center" vertical="center" wrapText="1"/>
      <protection locked="0"/>
    </xf>
    <xf numFmtId="0" fontId="10" fillId="4" borderId="3"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8" fillId="3" borderId="0" xfId="0" applyFont="1" applyFill="1" applyAlignment="1" applyProtection="1">
      <alignment horizontal="left" vertical="center" wrapText="1"/>
      <protection locked="0"/>
    </xf>
    <xf numFmtId="0" fontId="6" fillId="5" borderId="0" xfId="0" applyFont="1" applyFill="1" applyAlignment="1" applyProtection="1">
      <alignment horizontal="center" vertical="center" wrapText="1"/>
      <protection locked="0"/>
    </xf>
    <xf numFmtId="0" fontId="10" fillId="4" borderId="6" xfId="0" applyFont="1" applyFill="1" applyBorder="1" applyAlignment="1" applyProtection="1">
      <alignment horizontal="center" vertical="center" wrapText="1"/>
      <protection locked="0"/>
    </xf>
    <xf numFmtId="0" fontId="10" fillId="4" borderId="7" xfId="0" applyFont="1" applyFill="1" applyBorder="1" applyAlignment="1" applyProtection="1">
      <alignment horizontal="center" vertical="center" wrapText="1"/>
      <protection locked="0"/>
    </xf>
    <xf numFmtId="0" fontId="10" fillId="4" borderId="8" xfId="0" applyFont="1" applyFill="1" applyBorder="1" applyAlignment="1" applyProtection="1">
      <alignment horizontal="center" vertical="center" wrapText="1"/>
      <protection locked="0"/>
    </xf>
    <xf numFmtId="49" fontId="10" fillId="4" borderId="6" xfId="0" applyNumberFormat="1" applyFont="1" applyFill="1" applyBorder="1" applyAlignment="1" applyProtection="1">
      <alignment horizontal="center" vertical="center" wrapText="1"/>
      <protection locked="0"/>
    </xf>
    <xf numFmtId="49" fontId="10" fillId="4" borderId="7" xfId="0" applyNumberFormat="1" applyFont="1" applyFill="1" applyBorder="1" applyAlignment="1" applyProtection="1">
      <alignment horizontal="center" vertical="center" wrapText="1"/>
      <protection locked="0"/>
    </xf>
    <xf numFmtId="2" fontId="10" fillId="4" borderId="6" xfId="0" applyNumberFormat="1" applyFont="1" applyFill="1" applyBorder="1" applyAlignment="1" applyProtection="1">
      <alignment horizontal="center" vertical="center" wrapText="1"/>
      <protection locked="0"/>
    </xf>
    <xf numFmtId="2" fontId="10" fillId="4" borderId="7" xfId="0" applyNumberFormat="1" applyFont="1" applyFill="1" applyBorder="1" applyAlignment="1" applyProtection="1">
      <alignment horizontal="center" vertical="center" wrapText="1"/>
      <protection locked="0"/>
    </xf>
    <xf numFmtId="1" fontId="10" fillId="4" borderId="6" xfId="0" applyNumberFormat="1" applyFont="1" applyFill="1" applyBorder="1" applyAlignment="1" applyProtection="1">
      <alignment horizontal="center" vertical="center" wrapText="1"/>
      <protection locked="0"/>
    </xf>
    <xf numFmtId="1" fontId="10" fillId="4" borderId="7" xfId="0" applyNumberFormat="1" applyFont="1" applyFill="1" applyBorder="1" applyAlignment="1" applyProtection="1">
      <alignment horizontal="center"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U$2"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xdr:col>
      <xdr:colOff>1055628</xdr:colOff>
      <xdr:row>4</xdr:row>
      <xdr:rowOff>103642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488562" cy="690563"/>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152400</xdr:colOff>
          <xdr:row>4</xdr:row>
          <xdr:rowOff>0</xdr:rowOff>
        </xdr:from>
        <xdr:to>
          <xdr:col>19</xdr:col>
          <xdr:colOff>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Xuất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25400</xdr:rowOff>
        </xdr:from>
        <xdr:to>
          <xdr:col>19</xdr:col>
          <xdr:colOff>0</xdr:colOff>
          <xdr:row>3</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6</xdr:row>
          <xdr:rowOff>177800</xdr:rowOff>
        </xdr:from>
        <xdr:to>
          <xdr:col>19</xdr:col>
          <xdr:colOff>177800</xdr:colOff>
          <xdr:row>8</xdr:row>
          <xdr:rowOff>304800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CEO</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38"/>
  <sheetViews>
    <sheetView tabSelected="1" view="pageBreakPreview" topLeftCell="A17" zoomScale="114" zoomScaleNormal="70" zoomScaleSheetLayoutView="114" workbookViewId="0">
      <selection activeCell="A31" sqref="A31:P31"/>
    </sheetView>
  </sheetViews>
  <sheetFormatPr baseColWidth="10" defaultColWidth="0" defaultRowHeight="15" x14ac:dyDescent="0.2"/>
  <cols>
    <col min="1" max="1" width="5.1640625" customWidth="1"/>
    <col min="2" max="2" width="17.33203125" customWidth="1"/>
    <col min="3" max="3" width="20.83203125" customWidth="1"/>
    <col min="4" max="4" width="12.83203125" customWidth="1"/>
    <col min="5" max="5" width="13.33203125" customWidth="1"/>
    <col min="6" max="7" width="15.33203125" customWidth="1"/>
    <col min="8" max="8" width="37.83203125" customWidth="1"/>
    <col min="9" max="9" width="8.1640625" style="32" customWidth="1"/>
    <col min="10" max="11" width="8.1640625" customWidth="1"/>
    <col min="12" max="14" width="6.33203125" customWidth="1"/>
    <col min="15" max="15" width="23.6640625" customWidth="1"/>
    <col min="16" max="16" width="36.83203125" customWidth="1"/>
    <col min="17" max="17" width="2" customWidth="1"/>
    <col min="18" max="20" width="9" customWidth="1"/>
    <col min="21" max="23" width="0" hidden="1" customWidth="1"/>
    <col min="24" max="16384" width="9" hidden="1"/>
  </cols>
  <sheetData>
    <row r="1" spans="1:21" ht="16" x14ac:dyDescent="0.2">
      <c r="A1" s="1"/>
      <c r="B1" s="1"/>
      <c r="C1" s="1"/>
      <c r="D1" s="1"/>
      <c r="E1" s="2"/>
      <c r="F1" s="1"/>
      <c r="G1" s="1"/>
      <c r="H1" s="3"/>
      <c r="I1" s="28"/>
      <c r="J1" s="1"/>
      <c r="K1" s="4"/>
      <c r="L1" s="5"/>
      <c r="M1" s="1"/>
      <c r="N1" s="1"/>
      <c r="O1" s="1"/>
      <c r="P1" s="3"/>
      <c r="U1" s="20" t="s">
        <v>23</v>
      </c>
    </row>
    <row r="2" spans="1:21" ht="16" x14ac:dyDescent="0.2">
      <c r="A2" s="1"/>
      <c r="B2" s="1"/>
      <c r="C2" s="1"/>
      <c r="D2" s="1"/>
      <c r="E2" s="2"/>
      <c r="F2" s="1"/>
      <c r="G2" s="1"/>
      <c r="H2" s="3"/>
      <c r="I2" s="28"/>
      <c r="J2" s="1"/>
      <c r="K2" s="4"/>
      <c r="L2" s="5"/>
      <c r="M2" s="1"/>
      <c r="N2" s="1"/>
      <c r="O2" s="1"/>
      <c r="P2" s="3"/>
      <c r="U2" t="b">
        <v>0</v>
      </c>
    </row>
    <row r="3" spans="1:21" ht="16" x14ac:dyDescent="0.2">
      <c r="A3" s="1"/>
      <c r="B3" s="1"/>
      <c r="C3" s="1"/>
      <c r="D3" s="1"/>
      <c r="E3" s="1"/>
      <c r="F3" s="1"/>
      <c r="G3" s="1"/>
      <c r="H3" s="3"/>
      <c r="I3" s="28"/>
      <c r="J3" s="1"/>
      <c r="K3" s="4"/>
      <c r="L3" s="5"/>
      <c r="M3" s="1"/>
      <c r="N3" s="1"/>
      <c r="O3" s="1"/>
      <c r="P3" s="3"/>
    </row>
    <row r="4" spans="1:21" ht="16" hidden="1" x14ac:dyDescent="0.2">
      <c r="A4" s="1"/>
      <c r="B4" s="1"/>
      <c r="C4" s="1"/>
      <c r="D4" s="1"/>
      <c r="E4" s="1"/>
      <c r="F4" s="1"/>
      <c r="G4" s="1"/>
      <c r="H4" s="3"/>
      <c r="I4" s="28"/>
      <c r="J4" s="1"/>
      <c r="K4" s="4"/>
      <c r="L4" s="5"/>
      <c r="M4" s="1"/>
      <c r="N4" s="1"/>
      <c r="O4" s="1"/>
      <c r="P4" s="3"/>
    </row>
    <row r="5" spans="1:21" ht="19" x14ac:dyDescent="0.2">
      <c r="A5" s="1"/>
      <c r="B5" s="1"/>
      <c r="C5" s="1"/>
      <c r="D5" s="1"/>
      <c r="E5" s="1"/>
      <c r="F5" s="6"/>
      <c r="G5" s="6" t="s">
        <v>0</v>
      </c>
      <c r="H5" s="7"/>
      <c r="I5" s="29"/>
      <c r="J5" s="8"/>
      <c r="K5" s="8"/>
      <c r="L5" s="8"/>
      <c r="M5" s="8"/>
      <c r="N5" s="8"/>
      <c r="O5" s="8"/>
      <c r="P5" s="3"/>
    </row>
    <row r="6" spans="1:21" ht="13.5" customHeight="1" x14ac:dyDescent="0.2">
      <c r="A6" s="1"/>
      <c r="B6" s="1"/>
      <c r="C6" s="1"/>
      <c r="D6" s="1"/>
      <c r="E6" s="1"/>
      <c r="F6" s="6"/>
      <c r="G6" s="1"/>
      <c r="H6" s="7"/>
      <c r="I6" s="30"/>
      <c r="J6" s="9"/>
      <c r="K6" s="9"/>
      <c r="L6" s="9"/>
      <c r="M6" s="9"/>
      <c r="N6" s="9"/>
      <c r="O6" s="9"/>
      <c r="P6" s="3"/>
    </row>
    <row r="7" spans="1:21" ht="24" hidden="1" customHeight="1" x14ac:dyDescent="0.2">
      <c r="A7" s="1"/>
      <c r="B7" s="1"/>
      <c r="C7" s="1"/>
      <c r="D7" s="1"/>
      <c r="E7" s="1"/>
      <c r="F7" s="6"/>
      <c r="G7" s="10"/>
      <c r="H7" s="49"/>
      <c r="I7" s="49"/>
      <c r="J7" s="49"/>
      <c r="K7" s="12"/>
      <c r="L7" s="12"/>
      <c r="M7" s="12"/>
      <c r="N7" s="12"/>
      <c r="O7" s="12"/>
      <c r="P7" s="3"/>
    </row>
    <row r="8" spans="1:21" ht="8.25" customHeight="1" x14ac:dyDescent="0.2">
      <c r="A8" s="1"/>
      <c r="B8" s="1"/>
      <c r="C8" s="1"/>
      <c r="D8" s="1"/>
      <c r="E8" s="1"/>
      <c r="F8" s="6"/>
      <c r="G8" s="11"/>
      <c r="H8" s="11"/>
      <c r="I8" s="31"/>
      <c r="J8" s="11"/>
      <c r="K8" s="11"/>
      <c r="L8" s="11"/>
      <c r="M8" s="11"/>
      <c r="N8" s="11"/>
      <c r="O8" s="11"/>
      <c r="P8" s="3"/>
    </row>
    <row r="9" spans="1:21" ht="29.25" customHeight="1" x14ac:dyDescent="0.2">
      <c r="A9" s="18" t="s">
        <v>2</v>
      </c>
      <c r="B9" s="13"/>
      <c r="C9" s="13"/>
      <c r="D9" s="1"/>
      <c r="E9" s="33">
        <f>MAX(A16:A30)</f>
        <v>15</v>
      </c>
      <c r="F9" s="6"/>
      <c r="G9" s="10" t="s">
        <v>1</v>
      </c>
      <c r="H9" s="49" t="s">
        <v>26</v>
      </c>
      <c r="I9" s="49"/>
      <c r="J9" s="49"/>
      <c r="K9" s="49"/>
      <c r="L9" s="49"/>
      <c r="M9" s="49"/>
      <c r="N9" s="49"/>
      <c r="O9" s="49"/>
      <c r="P9" s="49"/>
    </row>
    <row r="10" spans="1:21" ht="29.25" customHeight="1" x14ac:dyDescent="0.2">
      <c r="A10" s="18" t="s">
        <v>4</v>
      </c>
      <c r="B10" s="13"/>
      <c r="C10" s="13"/>
      <c r="D10" s="1"/>
      <c r="E10" s="33">
        <v>4</v>
      </c>
      <c r="F10" s="6"/>
      <c r="G10" s="39" t="s">
        <v>3</v>
      </c>
      <c r="H10" s="49" t="s">
        <v>39</v>
      </c>
      <c r="I10" s="49"/>
      <c r="J10" s="49"/>
      <c r="K10" s="49"/>
      <c r="L10" s="49"/>
      <c r="M10" s="49"/>
      <c r="N10" s="49"/>
      <c r="O10" s="49"/>
      <c r="P10" s="49"/>
    </row>
    <row r="11" spans="1:21" ht="29.25" customHeight="1" x14ac:dyDescent="0.2">
      <c r="A11" s="18" t="s">
        <v>36</v>
      </c>
      <c r="B11" s="13"/>
      <c r="C11" s="13"/>
      <c r="E11" s="33">
        <f>E9-E10</f>
        <v>11</v>
      </c>
      <c r="F11" s="6"/>
      <c r="G11" s="15" t="s">
        <v>5</v>
      </c>
      <c r="H11" s="16" t="str">
        <f ca="1">TEXT(DAY(TODAY()),"0#")&amp;"/"&amp;TEXT(MONTH(TODAY()),"0#")&amp;"/"&amp;YEAR(TODAY())</f>
        <v>14/12/2023</v>
      </c>
      <c r="I11"/>
      <c r="J11" s="17" t="s">
        <v>16</v>
      </c>
      <c r="K11" s="16"/>
      <c r="M11" s="34"/>
      <c r="N11" s="17"/>
      <c r="O11" s="34" t="s">
        <v>17</v>
      </c>
    </row>
    <row r="12" spans="1:21" x14ac:dyDescent="0.2">
      <c r="A12" s="19"/>
      <c r="B12" s="53"/>
      <c r="C12" s="53"/>
      <c r="D12" s="13"/>
      <c r="E12" s="13"/>
      <c r="F12" s="15"/>
      <c r="G12" s="14"/>
      <c r="H12" s="16"/>
      <c r="I12" s="16"/>
      <c r="J12" s="16"/>
      <c r="K12" s="17"/>
      <c r="L12" s="34"/>
      <c r="M12" s="17"/>
      <c r="N12" s="17"/>
      <c r="O12" s="34"/>
      <c r="P12" s="34"/>
    </row>
    <row r="13" spans="1:21" ht="5.25" customHeight="1" x14ac:dyDescent="0.2">
      <c r="A13" s="19"/>
      <c r="B13" s="13"/>
      <c r="C13" s="13"/>
      <c r="D13" s="13"/>
      <c r="E13" s="13"/>
      <c r="F13" s="15"/>
      <c r="G13" s="14"/>
      <c r="H13" s="16"/>
      <c r="I13" s="35"/>
      <c r="J13" s="16"/>
      <c r="K13" s="17"/>
      <c r="L13" s="36"/>
      <c r="M13" s="37"/>
      <c r="N13" s="37"/>
      <c r="O13" s="36"/>
      <c r="P13" s="36"/>
    </row>
    <row r="14" spans="1:21" ht="15" customHeight="1" x14ac:dyDescent="0.2">
      <c r="A14" s="46" t="s">
        <v>6</v>
      </c>
      <c r="B14" s="46" t="s">
        <v>18</v>
      </c>
      <c r="C14" s="46" t="s">
        <v>7</v>
      </c>
      <c r="D14" s="46" t="s">
        <v>8</v>
      </c>
      <c r="E14" s="46" t="s">
        <v>9</v>
      </c>
      <c r="F14" s="46" t="s">
        <v>10</v>
      </c>
      <c r="G14" s="46" t="s">
        <v>11</v>
      </c>
      <c r="H14" s="46" t="s">
        <v>19</v>
      </c>
      <c r="I14" s="47" t="s">
        <v>20</v>
      </c>
      <c r="J14" s="48" t="s">
        <v>35</v>
      </c>
      <c r="K14" s="48" t="s">
        <v>21</v>
      </c>
      <c r="L14" s="50" t="s">
        <v>12</v>
      </c>
      <c r="M14" s="46" t="s">
        <v>22</v>
      </c>
      <c r="N14" s="46" t="s">
        <v>13</v>
      </c>
      <c r="O14" s="51" t="s">
        <v>14</v>
      </c>
      <c r="P14" s="46" t="s">
        <v>15</v>
      </c>
    </row>
    <row r="15" spans="1:21" ht="37.5" customHeight="1" x14ac:dyDescent="0.2">
      <c r="A15" s="46"/>
      <c r="B15" s="46"/>
      <c r="C15" s="46"/>
      <c r="D15" s="46"/>
      <c r="E15" s="46"/>
      <c r="F15" s="46"/>
      <c r="G15" s="46"/>
      <c r="H15" s="46"/>
      <c r="I15" s="47"/>
      <c r="J15" s="48"/>
      <c r="K15" s="48"/>
      <c r="L15" s="50"/>
      <c r="M15" s="46"/>
      <c r="N15" s="46"/>
      <c r="O15" s="52"/>
      <c r="P15" s="46"/>
    </row>
    <row r="16" spans="1:21" ht="47" customHeight="1" x14ac:dyDescent="0.2">
      <c r="A16" s="40">
        <v>1</v>
      </c>
      <c r="B16" s="40"/>
      <c r="C16" s="41"/>
      <c r="D16" s="42"/>
      <c r="E16" s="43"/>
      <c r="F16" s="42"/>
      <c r="G16" s="42"/>
      <c r="H16" s="42"/>
      <c r="I16" s="40"/>
      <c r="J16" s="40"/>
      <c r="K16" s="40"/>
      <c r="L16" s="40"/>
      <c r="M16" s="40"/>
      <c r="N16" s="40"/>
      <c r="O16" s="42"/>
      <c r="P16" s="42"/>
    </row>
    <row r="17" spans="1:16" ht="47" customHeight="1" x14ac:dyDescent="0.2">
      <c r="A17" s="40">
        <v>2</v>
      </c>
      <c r="B17" s="40"/>
      <c r="C17" s="41"/>
      <c r="D17" s="42"/>
      <c r="E17" s="43"/>
      <c r="F17" s="42"/>
      <c r="G17" s="42"/>
      <c r="H17" s="42"/>
      <c r="I17" s="40"/>
      <c r="J17" s="40"/>
      <c r="K17" s="40"/>
      <c r="L17" s="40"/>
      <c r="M17" s="40"/>
      <c r="N17" s="40"/>
      <c r="O17" s="42"/>
      <c r="P17" s="42"/>
    </row>
    <row r="18" spans="1:16" ht="47" customHeight="1" x14ac:dyDescent="0.2">
      <c r="A18" s="40">
        <v>3</v>
      </c>
      <c r="B18" s="40"/>
      <c r="C18" s="41"/>
      <c r="D18" s="42"/>
      <c r="E18" s="43"/>
      <c r="F18" s="42"/>
      <c r="G18" s="42"/>
      <c r="H18" s="42"/>
      <c r="I18" s="40"/>
      <c r="J18" s="40"/>
      <c r="K18" s="40"/>
      <c r="L18" s="40"/>
      <c r="M18" s="40"/>
      <c r="N18" s="40"/>
      <c r="O18" s="42"/>
      <c r="P18" s="42"/>
    </row>
    <row r="19" spans="1:16" ht="47" customHeight="1" x14ac:dyDescent="0.2">
      <c r="A19" s="40">
        <v>4</v>
      </c>
      <c r="B19" s="40"/>
      <c r="C19" s="41"/>
      <c r="D19" s="42"/>
      <c r="E19" s="43"/>
      <c r="F19" s="42"/>
      <c r="G19" s="42"/>
      <c r="H19" s="42"/>
      <c r="I19" s="40"/>
      <c r="J19" s="40"/>
      <c r="K19" s="40"/>
      <c r="L19" s="40"/>
      <c r="M19" s="40"/>
      <c r="N19" s="40"/>
      <c r="O19" s="42"/>
      <c r="P19" s="42"/>
    </row>
    <row r="20" spans="1:16" ht="47" customHeight="1" x14ac:dyDescent="0.2">
      <c r="A20" s="40">
        <v>5</v>
      </c>
      <c r="B20" s="40"/>
      <c r="C20" s="41"/>
      <c r="D20" s="42"/>
      <c r="E20" s="43"/>
      <c r="F20" s="42"/>
      <c r="G20" s="42"/>
      <c r="H20" s="42"/>
      <c r="I20" s="40"/>
      <c r="J20" s="40"/>
      <c r="K20" s="40"/>
      <c r="L20" s="40"/>
      <c r="M20" s="40"/>
      <c r="N20" s="40"/>
      <c r="O20" s="42"/>
      <c r="P20" s="42"/>
    </row>
    <row r="21" spans="1:16" ht="47" customHeight="1" x14ac:dyDescent="0.2">
      <c r="A21" s="40">
        <v>6</v>
      </c>
      <c r="B21" s="40"/>
      <c r="C21" s="41"/>
      <c r="D21" s="42"/>
      <c r="E21" s="43"/>
      <c r="F21" s="42"/>
      <c r="G21" s="42"/>
      <c r="H21" s="42"/>
      <c r="I21" s="40"/>
      <c r="J21" s="40"/>
      <c r="K21" s="40"/>
      <c r="L21" s="40"/>
      <c r="M21" s="40"/>
      <c r="N21" s="40"/>
      <c r="O21" s="42"/>
      <c r="P21" s="42"/>
    </row>
    <row r="22" spans="1:16" ht="47" customHeight="1" x14ac:dyDescent="0.2">
      <c r="A22" s="40">
        <v>7</v>
      </c>
      <c r="B22" s="40"/>
      <c r="C22" s="41"/>
      <c r="D22" s="42"/>
      <c r="E22" s="43"/>
      <c r="F22" s="42"/>
      <c r="G22" s="42"/>
      <c r="H22" s="42"/>
      <c r="I22" s="40"/>
      <c r="J22" s="40"/>
      <c r="K22" s="40"/>
      <c r="L22" s="40"/>
      <c r="M22" s="40"/>
      <c r="N22" s="40"/>
      <c r="O22" s="42"/>
      <c r="P22" s="42"/>
    </row>
    <row r="23" spans="1:16" ht="47" customHeight="1" x14ac:dyDescent="0.2">
      <c r="A23" s="40">
        <v>8</v>
      </c>
      <c r="B23" s="40"/>
      <c r="C23" s="41"/>
      <c r="D23" s="42"/>
      <c r="E23" s="43"/>
      <c r="F23" s="42"/>
      <c r="G23" s="42"/>
      <c r="H23" s="42"/>
      <c r="I23" s="40"/>
      <c r="J23" s="40"/>
      <c r="K23" s="40"/>
      <c r="L23" s="40"/>
      <c r="M23" s="40"/>
      <c r="N23" s="40"/>
      <c r="O23" s="42"/>
      <c r="P23" s="42"/>
    </row>
    <row r="24" spans="1:16" ht="47" customHeight="1" x14ac:dyDescent="0.2">
      <c r="A24" s="40">
        <v>9</v>
      </c>
      <c r="B24" s="40"/>
      <c r="C24" s="41"/>
      <c r="D24" s="42"/>
      <c r="E24" s="43"/>
      <c r="F24" s="42"/>
      <c r="G24" s="42"/>
      <c r="H24" s="42"/>
      <c r="I24" s="40"/>
      <c r="J24" s="40"/>
      <c r="K24" s="40"/>
      <c r="L24" s="40"/>
      <c r="M24" s="40"/>
      <c r="N24" s="40"/>
      <c r="O24" s="42"/>
      <c r="P24" s="42"/>
    </row>
    <row r="25" spans="1:16" ht="47" customHeight="1" x14ac:dyDescent="0.2">
      <c r="A25" s="40">
        <v>10</v>
      </c>
      <c r="B25" s="40"/>
      <c r="C25" s="41"/>
      <c r="D25" s="42"/>
      <c r="E25" s="43"/>
      <c r="F25" s="42"/>
      <c r="G25" s="42"/>
      <c r="H25" s="42"/>
      <c r="I25" s="40"/>
      <c r="J25" s="40"/>
      <c r="K25" s="40"/>
      <c r="L25" s="40"/>
      <c r="M25" s="40"/>
      <c r="N25" s="40"/>
      <c r="O25" s="42"/>
      <c r="P25" s="42"/>
    </row>
    <row r="26" spans="1:16" ht="47" customHeight="1" x14ac:dyDescent="0.2">
      <c r="A26" s="40">
        <v>11</v>
      </c>
      <c r="B26" s="40"/>
      <c r="C26" s="41"/>
      <c r="D26" s="42"/>
      <c r="E26" s="43"/>
      <c r="F26" s="42"/>
      <c r="G26" s="42"/>
      <c r="H26" s="42"/>
      <c r="I26" s="40"/>
      <c r="J26" s="40"/>
      <c r="K26" s="40"/>
      <c r="L26" s="40"/>
      <c r="M26" s="40"/>
      <c r="N26" s="40"/>
      <c r="O26" s="42"/>
      <c r="P26" s="42"/>
    </row>
    <row r="27" spans="1:16" ht="47" customHeight="1" x14ac:dyDescent="0.2">
      <c r="A27" s="40">
        <v>12</v>
      </c>
      <c r="B27" s="40"/>
      <c r="C27" s="41"/>
      <c r="D27" s="42"/>
      <c r="E27" s="43"/>
      <c r="F27" s="42"/>
      <c r="G27" s="42"/>
      <c r="H27" s="42"/>
      <c r="I27" s="40"/>
      <c r="J27" s="40"/>
      <c r="K27" s="40"/>
      <c r="L27" s="40"/>
      <c r="M27" s="40"/>
      <c r="N27" s="40"/>
      <c r="O27" s="42"/>
      <c r="P27" s="42"/>
    </row>
    <row r="28" spans="1:16" ht="47" customHeight="1" x14ac:dyDescent="0.2">
      <c r="A28" s="40">
        <v>13</v>
      </c>
      <c r="B28" s="40"/>
      <c r="C28" s="41"/>
      <c r="D28" s="42"/>
      <c r="E28" s="43"/>
      <c r="F28" s="42"/>
      <c r="G28" s="42"/>
      <c r="H28" s="42"/>
      <c r="I28" s="40"/>
      <c r="J28" s="40"/>
      <c r="K28" s="40"/>
      <c r="L28" s="40"/>
      <c r="M28" s="40"/>
      <c r="N28" s="40"/>
      <c r="O28" s="42"/>
      <c r="P28" s="42"/>
    </row>
    <row r="29" spans="1:16" ht="47" customHeight="1" x14ac:dyDescent="0.2">
      <c r="A29" s="40">
        <v>14</v>
      </c>
      <c r="B29" s="40"/>
      <c r="C29" s="41"/>
      <c r="D29" s="42"/>
      <c r="E29" s="43"/>
      <c r="F29" s="42"/>
      <c r="G29" s="42"/>
      <c r="H29" s="42"/>
      <c r="I29" s="40"/>
      <c r="J29" s="40"/>
      <c r="K29" s="40"/>
      <c r="L29" s="40"/>
      <c r="M29" s="40"/>
      <c r="N29" s="40"/>
      <c r="O29" s="42"/>
      <c r="P29" s="42"/>
    </row>
    <row r="30" spans="1:16" ht="47" customHeight="1" x14ac:dyDescent="0.2">
      <c r="A30" s="40">
        <v>15</v>
      </c>
      <c r="B30" s="40"/>
      <c r="C30" s="41"/>
      <c r="D30" s="42"/>
      <c r="E30" s="43"/>
      <c r="F30" s="42"/>
      <c r="G30" s="42"/>
      <c r="H30" s="42"/>
      <c r="I30" s="40"/>
      <c r="J30" s="40"/>
      <c r="K30" s="40"/>
      <c r="L30" s="40"/>
      <c r="M30" s="40"/>
      <c r="N30" s="40"/>
      <c r="O30" s="42"/>
      <c r="P30" s="42"/>
    </row>
    <row r="31" spans="1:16" ht="15.75" customHeight="1" x14ac:dyDescent="0.2">
      <c r="A31" s="45"/>
      <c r="B31" s="45"/>
      <c r="C31" s="45"/>
      <c r="D31" s="45"/>
      <c r="E31" s="45"/>
      <c r="F31" s="45"/>
      <c r="G31" s="45"/>
      <c r="H31" s="45"/>
      <c r="I31" s="45"/>
      <c r="J31" s="45"/>
      <c r="K31" s="45"/>
      <c r="L31" s="45"/>
      <c r="M31" s="45"/>
      <c r="N31" s="45"/>
      <c r="O31" s="45"/>
      <c r="P31" s="45"/>
    </row>
    <row r="32" spans="1:16" ht="48" customHeight="1" x14ac:dyDescent="0.2">
      <c r="A32" s="44"/>
      <c r="B32" s="44"/>
      <c r="C32" s="44"/>
      <c r="D32" s="44"/>
      <c r="E32" s="44"/>
      <c r="F32" s="44"/>
      <c r="G32" s="44"/>
      <c r="H32" s="44"/>
      <c r="I32" s="44" t="s">
        <v>38</v>
      </c>
      <c r="J32" s="44"/>
      <c r="K32" s="44"/>
      <c r="L32" s="44"/>
      <c r="M32" s="44"/>
      <c r="N32" s="44"/>
      <c r="O32" s="44"/>
      <c r="P32" s="44"/>
    </row>
    <row r="33" spans="1:16" ht="18.75" customHeight="1" x14ac:dyDescent="0.2">
      <c r="A33" s="38"/>
      <c r="B33" s="38"/>
      <c r="C33" s="38"/>
      <c r="D33" s="38"/>
      <c r="E33" s="38"/>
      <c r="F33" s="38"/>
      <c r="G33" s="38"/>
      <c r="H33" s="38"/>
      <c r="I33" s="38"/>
      <c r="J33" s="38"/>
      <c r="K33" s="38"/>
      <c r="L33" s="38"/>
      <c r="M33" s="38"/>
      <c r="N33" s="38"/>
      <c r="O33" s="38"/>
      <c r="P33" s="38"/>
    </row>
    <row r="34" spans="1:16" ht="18.75" customHeight="1" x14ac:dyDescent="0.2">
      <c r="A34" s="38"/>
      <c r="B34" s="38"/>
      <c r="C34" s="38"/>
      <c r="D34" s="38"/>
      <c r="E34" s="38"/>
      <c r="F34" s="38"/>
      <c r="G34" s="38"/>
      <c r="H34" s="38"/>
      <c r="I34" s="38"/>
      <c r="J34" s="38"/>
      <c r="K34" s="38"/>
      <c r="L34" s="38"/>
      <c r="M34" s="38"/>
      <c r="N34" s="38"/>
      <c r="O34" s="38"/>
      <c r="P34" s="38"/>
    </row>
    <row r="35" spans="1:16" ht="18.75" customHeight="1" x14ac:dyDescent="0.2">
      <c r="A35" s="38"/>
      <c r="B35" s="38"/>
      <c r="C35" s="38"/>
      <c r="D35" s="38"/>
      <c r="E35" s="38"/>
      <c r="F35" s="38"/>
      <c r="G35" s="38"/>
      <c r="H35" s="38"/>
      <c r="I35" s="38"/>
      <c r="J35" s="38"/>
      <c r="K35" s="38"/>
      <c r="L35" s="38"/>
      <c r="M35" s="38"/>
      <c r="N35" s="38"/>
      <c r="O35" s="38"/>
      <c r="P35" s="38"/>
    </row>
    <row r="36" spans="1:16" ht="18.75" customHeight="1" x14ac:dyDescent="0.2">
      <c r="A36" s="38"/>
      <c r="B36" s="38"/>
      <c r="C36" s="38"/>
      <c r="D36" s="38"/>
      <c r="E36" s="38"/>
      <c r="F36" s="38"/>
      <c r="G36" s="38"/>
      <c r="H36" s="38"/>
      <c r="I36" s="38"/>
      <c r="J36" s="38"/>
      <c r="K36" s="38"/>
      <c r="L36" s="38"/>
      <c r="M36" s="38"/>
      <c r="N36" s="38"/>
      <c r="O36" s="38"/>
      <c r="P36" s="38"/>
    </row>
    <row r="37" spans="1:16" ht="18.75" customHeight="1" x14ac:dyDescent="0.2">
      <c r="A37" s="38"/>
      <c r="B37" s="38"/>
      <c r="C37" s="38"/>
      <c r="D37" s="38"/>
      <c r="E37" s="38"/>
      <c r="F37" s="38"/>
      <c r="G37" s="38"/>
      <c r="H37" s="38"/>
      <c r="I37" s="38"/>
      <c r="J37" s="38"/>
      <c r="K37" s="38"/>
      <c r="L37" s="38"/>
      <c r="M37" s="38"/>
      <c r="N37" s="38"/>
      <c r="O37" s="38"/>
      <c r="P37" s="38"/>
    </row>
    <row r="38" spans="1:16" ht="18.75" customHeight="1" x14ac:dyDescent="0.2">
      <c r="A38" s="44"/>
      <c r="B38" s="44"/>
      <c r="C38" s="44"/>
      <c r="D38" s="44"/>
      <c r="E38" s="44"/>
      <c r="F38" s="44"/>
      <c r="G38" s="44"/>
      <c r="H38" s="44"/>
      <c r="I38" s="54" t="s">
        <v>37</v>
      </c>
      <c r="J38" s="54"/>
      <c r="K38" s="54"/>
      <c r="L38" s="54"/>
      <c r="M38" s="54"/>
      <c r="N38" s="54"/>
      <c r="O38" s="54"/>
      <c r="P38" s="54"/>
    </row>
  </sheetData>
  <mergeCells count="25">
    <mergeCell ref="A38:H38"/>
    <mergeCell ref="H7:J7"/>
    <mergeCell ref="P14:P15"/>
    <mergeCell ref="N14:N15"/>
    <mergeCell ref="L14:L15"/>
    <mergeCell ref="H9:P9"/>
    <mergeCell ref="H10:P10"/>
    <mergeCell ref="O14:O15"/>
    <mergeCell ref="B12:C12"/>
    <mergeCell ref="A14:A15"/>
    <mergeCell ref="B14:B15"/>
    <mergeCell ref="C14:C15"/>
    <mergeCell ref="D14:D15"/>
    <mergeCell ref="E14:E15"/>
    <mergeCell ref="I38:P38"/>
    <mergeCell ref="M14:M15"/>
    <mergeCell ref="A32:H32"/>
    <mergeCell ref="A31:P31"/>
    <mergeCell ref="I32:P32"/>
    <mergeCell ref="F14:F15"/>
    <mergeCell ref="G14:G15"/>
    <mergeCell ref="H14:H15"/>
    <mergeCell ref="I14:I15"/>
    <mergeCell ref="K14:K15"/>
    <mergeCell ref="J14:J15"/>
  </mergeCells>
  <phoneticPr fontId="14" type="noConversion"/>
  <pageMargins left="0.2" right="0.2" top="0.2" bottom="0.75" header="0.3" footer="0.3"/>
  <pageSetup scale="5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XuatPDF">
                <anchor moveWithCells="1" sizeWithCells="1">
                  <from>
                    <xdr:col>16</xdr:col>
                    <xdr:colOff>152400</xdr:colOff>
                    <xdr:row>4</xdr:row>
                    <xdr:rowOff>0</xdr:rowOff>
                  </from>
                  <to>
                    <xdr:col>19</xdr:col>
                    <xdr:colOff>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Module1.Print_out">
                <anchor moveWithCells="1" sizeWithCells="1">
                  <from>
                    <xdr:col>17</xdr:col>
                    <xdr:colOff>0</xdr:colOff>
                    <xdr:row>1</xdr:row>
                    <xdr:rowOff>25400</xdr:rowOff>
                  </from>
                  <to>
                    <xdr:col>19</xdr:col>
                    <xdr:colOff>0</xdr:colOff>
                    <xdr:row>3</xdr:row>
                    <xdr:rowOff>114300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16</xdr:col>
                    <xdr:colOff>152400</xdr:colOff>
                    <xdr:row>6</xdr:row>
                    <xdr:rowOff>177800</xdr:rowOff>
                  </from>
                  <to>
                    <xdr:col>19</xdr:col>
                    <xdr:colOff>177800</xdr:colOff>
                    <xdr:row>8</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9908D-437D-864D-8B21-78FA6E26023D}">
  <dimension ref="A1:C15"/>
  <sheetViews>
    <sheetView workbookViewId="0">
      <selection sqref="A1:B15"/>
    </sheetView>
  </sheetViews>
  <sheetFormatPr baseColWidth="10" defaultRowHeight="15" x14ac:dyDescent="0.2"/>
  <cols>
    <col min="1" max="1" width="23.1640625" customWidth="1"/>
    <col min="2" max="2" width="24.6640625" customWidth="1"/>
  </cols>
  <sheetData>
    <row r="1" spans="1:3" ht="26" customHeight="1" x14ac:dyDescent="0.2">
      <c r="A1" s="55" t="s">
        <v>40</v>
      </c>
      <c r="B1" s="56"/>
      <c r="C1" t="str">
        <f>_xlfn.CONCAT("@",A1,"$")</f>
        <v>@MA HOI DONG PHONG VAN$</v>
      </c>
    </row>
    <row r="2" spans="1:3" x14ac:dyDescent="0.2">
      <c r="A2" s="55" t="s">
        <v>41</v>
      </c>
      <c r="B2" s="56"/>
      <c r="C2" t="str">
        <f t="shared" ref="C2:C15" si="0">_xlfn.CONCAT("@",A2,"$")</f>
        <v>@HO VA $</v>
      </c>
    </row>
    <row r="3" spans="1:3" x14ac:dyDescent="0.2">
      <c r="A3" s="55" t="s">
        <v>42</v>
      </c>
      <c r="B3" s="56"/>
      <c r="C3" t="str">
        <f t="shared" si="0"/>
        <v>@TEN$</v>
      </c>
    </row>
    <row r="4" spans="1:3" x14ac:dyDescent="0.2">
      <c r="A4" s="55" t="s">
        <v>43</v>
      </c>
      <c r="B4" s="56"/>
      <c r="C4" t="str">
        <f t="shared" si="0"/>
        <v>@NGAY SINH$</v>
      </c>
    </row>
    <row r="5" spans="1:3" ht="15" customHeight="1" x14ac:dyDescent="0.2">
      <c r="A5" s="55" t="s">
        <v>44</v>
      </c>
      <c r="B5" s="56"/>
      <c r="C5" t="str">
        <f t="shared" si="0"/>
        <v>@TRUONG TOT NGHIEP$</v>
      </c>
    </row>
    <row r="6" spans="1:3" ht="15" customHeight="1" x14ac:dyDescent="0.2">
      <c r="A6" s="55" t="s">
        <v>45</v>
      </c>
      <c r="B6" s="56"/>
      <c r="C6" t="str">
        <f t="shared" si="0"/>
        <v>@CHUYEN NGANH$</v>
      </c>
    </row>
    <row r="7" spans="1:3" ht="15" customHeight="1" x14ac:dyDescent="0.2">
      <c r="A7" s="55" t="s">
        <v>46</v>
      </c>
      <c r="B7" s="56"/>
      <c r="C7" t="str">
        <f t="shared" si="0"/>
        <v>@KINH NGHIEM$</v>
      </c>
    </row>
    <row r="8" spans="1:3" ht="15" customHeight="1" x14ac:dyDescent="0.2">
      <c r="A8" s="58" t="s">
        <v>47</v>
      </c>
      <c r="B8" s="59"/>
      <c r="C8" t="str">
        <f t="shared" si="0"/>
        <v>@Diem Thi viet$</v>
      </c>
    </row>
    <row r="9" spans="1:3" ht="15" customHeight="1" x14ac:dyDescent="0.2">
      <c r="A9" s="60" t="s">
        <v>48</v>
      </c>
      <c r="B9" s="61"/>
      <c r="C9" t="str">
        <f t="shared" si="0"/>
        <v>@Diem Ngoai hinh$</v>
      </c>
    </row>
    <row r="10" spans="1:3" ht="15" customHeight="1" x14ac:dyDescent="0.2">
      <c r="A10" s="60" t="s">
        <v>49</v>
      </c>
      <c r="B10" s="61"/>
      <c r="C10" t="str">
        <f t="shared" si="0"/>
        <v>@Diem Phong van$</v>
      </c>
    </row>
    <row r="11" spans="1:3" ht="26" customHeight="1" x14ac:dyDescent="0.2">
      <c r="A11" s="62" t="s">
        <v>54</v>
      </c>
      <c r="B11" s="63"/>
      <c r="C11" t="str">
        <f t="shared" si="0"/>
        <v>@Dinh bien$</v>
      </c>
    </row>
    <row r="12" spans="1:3" ht="15" customHeight="1" x14ac:dyDescent="0.2">
      <c r="A12" s="55" t="s">
        <v>50</v>
      </c>
      <c r="B12" s="56"/>
      <c r="C12" t="str">
        <f t="shared" si="0"/>
        <v>@So luong hien tai$</v>
      </c>
    </row>
    <row r="13" spans="1:3" x14ac:dyDescent="0.2">
      <c r="A13" s="55" t="s">
        <v>51</v>
      </c>
      <c r="B13" s="56"/>
      <c r="C13" t="str">
        <f t="shared" si="0"/>
        <v>@Can bo sung$</v>
      </c>
    </row>
    <row r="14" spans="1:3" ht="15" customHeight="1" x14ac:dyDescent="0.2">
      <c r="A14" s="55" t="s">
        <v>52</v>
      </c>
      <c r="B14" s="57"/>
      <c r="C14" t="str">
        <f t="shared" si="0"/>
        <v>@KET QUA TUYEN DUNG$</v>
      </c>
    </row>
    <row r="15" spans="1:3" ht="26" customHeight="1" x14ac:dyDescent="0.2">
      <c r="A15" s="55" t="s">
        <v>53</v>
      </c>
      <c r="B15" s="56"/>
      <c r="C15" t="str">
        <f t="shared" si="0"/>
        <v>@THONG TIN
GHI CHU$</v>
      </c>
    </row>
  </sheetData>
  <mergeCells count="15">
    <mergeCell ref="A6:B6"/>
    <mergeCell ref="A1:B1"/>
    <mergeCell ref="A2:B2"/>
    <mergeCell ref="A3:B3"/>
    <mergeCell ref="A4:B4"/>
    <mergeCell ref="A5:B5"/>
    <mergeCell ref="A13:B13"/>
    <mergeCell ref="A14:B14"/>
    <mergeCell ref="A15:B15"/>
    <mergeCell ref="A7:B7"/>
    <mergeCell ref="A8:B8"/>
    <mergeCell ref="A9:B9"/>
    <mergeCell ref="A10:B10"/>
    <mergeCell ref="A11:B11"/>
    <mergeCell ref="A12:B12"/>
  </mergeCell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P3"/>
  <sheetViews>
    <sheetView workbookViewId="0">
      <selection activeCell="E4" sqref="E4"/>
    </sheetView>
  </sheetViews>
  <sheetFormatPr baseColWidth="10" defaultColWidth="8.83203125" defaultRowHeight="15" x14ac:dyDescent="0.2"/>
  <sheetData>
    <row r="2" spans="1:16" s="24" customFormat="1" ht="121.5" customHeight="1" x14ac:dyDescent="0.15">
      <c r="A2" s="21"/>
      <c r="B2" s="21"/>
      <c r="C2" s="22"/>
      <c r="D2" s="23"/>
      <c r="E2" s="21"/>
      <c r="F2" s="23"/>
      <c r="G2" s="23"/>
      <c r="H2" s="23"/>
      <c r="I2" s="21"/>
      <c r="J2" s="26"/>
      <c r="K2" s="26"/>
      <c r="L2" s="21"/>
      <c r="M2" s="21"/>
      <c r="N2" s="21"/>
      <c r="O2" s="23"/>
      <c r="P2" s="23"/>
    </row>
    <row r="3" spans="1:16" s="24" customFormat="1" ht="131.25" customHeight="1" x14ac:dyDescent="0.15">
      <c r="A3" s="21">
        <v>1</v>
      </c>
      <c r="B3" s="21" t="s">
        <v>27</v>
      </c>
      <c r="C3" s="22" t="s">
        <v>28</v>
      </c>
      <c r="D3" s="23" t="s">
        <v>29</v>
      </c>
      <c r="E3" s="25" t="s">
        <v>30</v>
      </c>
      <c r="F3" s="23" t="s">
        <v>34</v>
      </c>
      <c r="G3" s="23" t="s">
        <v>31</v>
      </c>
      <c r="H3" s="23" t="s">
        <v>32</v>
      </c>
      <c r="I3" s="27" t="s">
        <v>24</v>
      </c>
      <c r="J3" s="26">
        <v>5.3333333333333304</v>
      </c>
      <c r="K3" s="26">
        <v>5.8666666666666698</v>
      </c>
      <c r="L3" s="21">
        <v>26</v>
      </c>
      <c r="M3" s="21">
        <v>22</v>
      </c>
      <c r="N3" s="21">
        <v>5</v>
      </c>
      <c r="O3" s="23" t="s">
        <v>33</v>
      </c>
      <c r="P3" s="23" t="s">
        <v>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Data</vt:lpstr>
      <vt:lpstr>Sheet2</vt:lpstr>
      <vt:lpstr>Sheet1</vt:lpstr>
      <vt:lpstr>Data!Print_Area</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Tung Lam.</dc:creator>
  <cp:lastModifiedBy>Doan, Tuong</cp:lastModifiedBy>
  <cp:lastPrinted>2023-08-02T10:19:39Z</cp:lastPrinted>
  <dcterms:created xsi:type="dcterms:W3CDTF">2015-06-05T18:17:20Z</dcterms:created>
  <dcterms:modified xsi:type="dcterms:W3CDTF">2023-12-14T09:05:00Z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6159b85f-8ff7-4a04-9449-32800c54b5f1</vt:lpwstr>
  </property>
  <property fmtid="{D5CDD505-2E9C-101B-9397-08002B2CF9AE}" pid="3" name="MSIP_Label_35555f46-613e-4f1a-a4bc-536c99acd73a_Enabled">
    <vt:lpwstr>true</vt:lpwstr>
  </property>
  <property fmtid="{D5CDD505-2E9C-101B-9397-08002B2CF9AE}" pid="4" name="MSIP_Label_35555f46-613e-4f1a-a4bc-536c99acd73a_SetDate">
    <vt:lpwstr>2023-08-23T03:40:31Z</vt:lpwstr>
  </property>
  <property fmtid="{D5CDD505-2E9C-101B-9397-08002B2CF9AE}" pid="5" name="MSIP_Label_35555f46-613e-4f1a-a4bc-536c99acd73a_Method">
    <vt:lpwstr>Standard</vt:lpwstr>
  </property>
  <property fmtid="{D5CDD505-2E9C-101B-9397-08002B2CF9AE}" pid="6" name="MSIP_Label_35555f46-613e-4f1a-a4bc-536c99acd73a_Name">
    <vt:lpwstr>35555f46-613e-4f1a-a4bc-536c99acd73a</vt:lpwstr>
  </property>
  <property fmtid="{D5CDD505-2E9C-101B-9397-08002B2CF9AE}" pid="7" name="MSIP_Label_35555f46-613e-4f1a-a4bc-536c99acd73a_SiteId">
    <vt:lpwstr>2b931bbb-a7e2-453c-98f9-554f1ac0414d</vt:lpwstr>
  </property>
  <property fmtid="{D5CDD505-2E9C-101B-9397-08002B2CF9AE}" pid="8" name="MSIP_Label_35555f46-613e-4f1a-a4bc-536c99acd73a_ActionId">
    <vt:lpwstr>d15cd05e-2da0-48f8-8601-cb4699e06e4c</vt:lpwstr>
  </property>
  <property fmtid="{D5CDD505-2E9C-101B-9397-08002B2CF9AE}" pid="9" name="MSIP_Label_35555f46-613e-4f1a-a4bc-536c99acd73a_ContentBits">
    <vt:lpwstr>0</vt:lpwstr>
  </property>
  <property fmtid="{D5CDD505-2E9C-101B-9397-08002B2CF9AE}" pid="10" name="MSIP_Label_defa4170-0d19-0005-0004-bc88714345d2_Enabled">
    <vt:lpwstr>true</vt:lpwstr>
  </property>
  <property fmtid="{D5CDD505-2E9C-101B-9397-08002B2CF9AE}" pid="11" name="MSIP_Label_defa4170-0d19-0005-0004-bc88714345d2_SetDate">
    <vt:lpwstr>2023-11-12T16:34:25Z</vt:lpwstr>
  </property>
  <property fmtid="{D5CDD505-2E9C-101B-9397-08002B2CF9AE}" pid="12" name="MSIP_Label_defa4170-0d19-0005-0004-bc88714345d2_Method">
    <vt:lpwstr>Standard</vt:lpwstr>
  </property>
  <property fmtid="{D5CDD505-2E9C-101B-9397-08002B2CF9AE}" pid="13" name="MSIP_Label_defa4170-0d19-0005-0004-bc88714345d2_Name">
    <vt:lpwstr>defa4170-0d19-0005-0004-bc88714345d2</vt:lpwstr>
  </property>
  <property fmtid="{D5CDD505-2E9C-101B-9397-08002B2CF9AE}" pid="14" name="MSIP_Label_defa4170-0d19-0005-0004-bc88714345d2_SiteId">
    <vt:lpwstr>1f3f9d61-e763-4e33-b8eb-e95c97f9f2ff</vt:lpwstr>
  </property>
  <property fmtid="{D5CDD505-2E9C-101B-9397-08002B2CF9AE}" pid="15" name="MSIP_Label_defa4170-0d19-0005-0004-bc88714345d2_ActionId">
    <vt:lpwstr>6e696322-3ced-4f86-a74c-e524c8726799</vt:lpwstr>
  </property>
  <property fmtid="{D5CDD505-2E9C-101B-9397-08002B2CF9AE}" pid="16" name="MSIP_Label_defa4170-0d19-0005-0004-bc88714345d2_ContentBits">
    <vt:lpwstr>0</vt:lpwstr>
  </property>
</Properties>
</file>