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mc:AlternateContent xmlns:mc="http://schemas.openxmlformats.org/markup-compatibility/2006">
    <mc:Choice Requires="x15">
      <x15ac:absPath xmlns:x15ac="http://schemas.microsoft.com/office/spreadsheetml/2010/11/ac" url="C:\Tools TD\"/>
    </mc:Choice>
  </mc:AlternateContent>
  <xr:revisionPtr revIDLastSave="0" documentId="8_{3FCFF2CA-6365-416C-B06F-3F7EC76A6F10}" xr6:coauthVersionLast="47" xr6:coauthVersionMax="47" xr10:uidLastSave="{00000000-0000-0000-0000-000000000000}"/>
  <bookViews>
    <workbookView xWindow="40920" yWindow="-120" windowWidth="29040" windowHeight="15840" firstSheet="2" activeTab="2" xr2:uid="{00000000-000D-0000-FFFF-FFFF00000000}"/>
  </bookViews>
  <sheets>
    <sheet name="Main" sheetId="2" state="hidden" r:id="rId1"/>
    <sheet name="DS" sheetId="3" state="hidden" r:id="rId2"/>
    <sheet name="Data" sheetId="1" r:id="rId3"/>
  </sheets>
  <externalReferences>
    <externalReference r:id="rId4"/>
  </externalReferences>
  <definedNames>
    <definedName name="_xlnm.Print_Area" localSheetId="2">Data!$A$1:$Q$21</definedName>
    <definedName name="_xlnm.Print_Titles" localSheetId="2">Data!$14:$15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2" i="3" l="1"/>
  <c r="J21" i="1"/>
  <c r="J19" i="1"/>
  <c r="A21" i="1" l="1"/>
  <c r="A19" i="1"/>
  <c r="I11" i="1" l="1"/>
  <c r="A18" i="1" l="1"/>
  <c r="E9" i="1" l="1"/>
  <c r="E11" i="1" s="1"/>
</calcChain>
</file>

<file path=xl/sharedStrings.xml><?xml version="1.0" encoding="utf-8"?>
<sst xmlns="http://schemas.openxmlformats.org/spreadsheetml/2006/main" count="157" uniqueCount="141">
  <si>
    <t xml:space="preserve">                                                                                                                                                                                                                                                                                                                                                                                                                                                                                                                                                                                                                                                                                                                                                                                                                                                                                                                                                                                                                                                                                                                                                                                                                                                                                                                                                                                                                                                                                                                                                                                                                                                                                                                                                                                                                                                                                                                                                                                                                                                              </t>
  </si>
  <si>
    <t>TỔNG HỢP KẾT QUẢ TUYỂN DỤNG</t>
  </si>
  <si>
    <t>ĐƠN VỊ</t>
  </si>
  <si>
    <t>Tổng số UV trình phê duyệt:</t>
  </si>
  <si>
    <t>VỊ TRÍ</t>
  </si>
  <si>
    <t>Số UV Đạt theo quy định:</t>
  </si>
  <si>
    <t>NGÀY</t>
  </si>
  <si>
    <t>TT</t>
  </si>
  <si>
    <t xml:space="preserve">HỌ VÀ </t>
  </si>
  <si>
    <t>TÊN</t>
  </si>
  <si>
    <t>NGÀY SINH</t>
  </si>
  <si>
    <t>TRƯỜNG TỐT NGHIỆP</t>
  </si>
  <si>
    <t>CHUYÊN NGÀNH</t>
  </si>
  <si>
    <t>Định
biên</t>
  </si>
  <si>
    <t>Cần bổ sung</t>
  </si>
  <si>
    <t>KẾT QUẢ TUYỂN DỤNG</t>
  </si>
  <si>
    <t>THÔNG TIN
GHI CHÚ</t>
  </si>
  <si>
    <t xml:space="preserve">                                                                                                                                                                                                                                               </t>
  </si>
  <si>
    <t>Số UV không đạt tiêu chuẩn tuyển dụng cần trình TGĐ</t>
  </si>
  <si>
    <t>MÃ HỘI ĐỒNG PHỎNG VẤN</t>
  </si>
  <si>
    <t>KINH NGHIỆM</t>
  </si>
  <si>
    <t>Điểm Thi viết</t>
  </si>
  <si>
    <t>Điểm Phỏng vấn</t>
  </si>
  <si>
    <t>Số lượng hiện tại</t>
  </si>
  <si>
    <t>KHU VỰC……………..</t>
  </si>
  <si>
    <t>- Đối với nhóm ứng viên bên ngoài có kinh nghiệm tại các ngân hàng, tổ chức lớn cần thu hút hoặc nhóm ứng viên nội bộ có kết quả phỏng vấn được Lãnh đạo đơn vị tiếp nhận đánh giá tốt: Đề xuất Tổng Giám đốc ủy quyền cho Giám đốc Nhân sự quyết định áp dụng phụ cấp thu hút, các loại phụ cấp, đãi ngộ, thưởng thành tích trước hạn, ngoại lệ (nếu cần).</t>
  </si>
  <si>
    <t>Điểm ngoại hình</t>
  </si>
  <si>
    <t>TRÌNH ĐỘ HỌC VẤN</t>
  </si>
  <si>
    <t>Tên</t>
  </si>
  <si>
    <t>Email</t>
  </si>
  <si>
    <t>SDT</t>
  </si>
  <si>
    <t>Năm sinh</t>
  </si>
  <si>
    <t>Giới tính</t>
  </si>
  <si>
    <t>Loại bằng cấp</t>
  </si>
  <si>
    <t>Trường</t>
  </si>
  <si>
    <t>Chuyên ngành</t>
  </si>
  <si>
    <t>Năm tốt nghiệp</t>
  </si>
  <si>
    <t>Điểm mạnh</t>
  </si>
  <si>
    <t>Điểm yếu</t>
  </si>
  <si>
    <t>Lý do muốn làm việc tại MB</t>
  </si>
  <si>
    <t>Số CMT</t>
  </si>
  <si>
    <t>Nơi cấp CMT</t>
  </si>
  <si>
    <t>Ngày cấp CMT</t>
  </si>
  <si>
    <t>Chiều cao</t>
  </si>
  <si>
    <t>Cân nặng</t>
  </si>
  <si>
    <t>Tình trạng hôn nhân</t>
  </si>
  <si>
    <t>Dân tộc</t>
  </si>
  <si>
    <t>Địa chỉ thường trú</t>
  </si>
  <si>
    <t>Quận/Huyện</t>
  </si>
  <si>
    <t>Tỉnh/Thành</t>
  </si>
  <si>
    <t>Nơi ở hiện tại</t>
  </si>
  <si>
    <t>Nguồn hồ sơ</t>
  </si>
  <si>
    <t>Đơn vị dự kiến phân bổ</t>
  </si>
  <si>
    <t>Vị trí hiện tại</t>
  </si>
  <si>
    <t>Ghi chú Kinh nghiệm</t>
  </si>
  <si>
    <t>Vị trí phỏng vấn</t>
  </si>
  <si>
    <t>Thời gian</t>
  </si>
  <si>
    <t>Ngày tháng</t>
  </si>
  <si>
    <t>Địa điểm phỏng vấn</t>
  </si>
  <si>
    <t>Điểm phỏng vấn</t>
  </si>
  <si>
    <t>Kết quả PV</t>
  </si>
  <si>
    <t>Mã HĐPV</t>
  </si>
  <si>
    <t>Vị trí đạt (Hris)</t>
  </si>
  <si>
    <t>Level (Hris)</t>
  </si>
  <si>
    <t>Đơn vị quản lý (Hris)</t>
  </si>
  <si>
    <t>DVTT 1 (Hris)</t>
  </si>
  <si>
    <t>DVTT 2 (Hris)</t>
  </si>
  <si>
    <t>DVTT 3 (Hris)</t>
  </si>
  <si>
    <t>Điểm thi viết</t>
  </si>
  <si>
    <t>Điểm tiếng anh</t>
  </si>
  <si>
    <t>Tổng hợp kết quả tuyển dụng</t>
  </si>
  <si>
    <t>Ngày trình kết quả phỏng vấn</t>
  </si>
  <si>
    <t>Ngày BLĐ phê duyệt KQPV</t>
  </si>
  <si>
    <t>Dải</t>
  </si>
  <si>
    <t>Bậc</t>
  </si>
  <si>
    <t>Tỷ lệ LCB</t>
  </si>
  <si>
    <t>Hệ số THS</t>
  </si>
  <si>
    <t>Mức</t>
  </si>
  <si>
    <t>Tỷ lệ THS</t>
  </si>
  <si>
    <t>Lương trọn gói</t>
  </si>
  <si>
    <t>Hệ số thời hạn</t>
  </si>
  <si>
    <t>Hệ số cấp bậc</t>
  </si>
  <si>
    <t>Hệ số xếp loại</t>
  </si>
  <si>
    <t>Hệ số TCCV</t>
  </si>
  <si>
    <t>Ngày gửi offer</t>
  </si>
  <si>
    <t>Lý do từ chối offer</t>
  </si>
  <si>
    <t>Ngày UV Onboard</t>
  </si>
  <si>
    <t>Số Thông báo tiếp nhận</t>
  </si>
  <si>
    <t>Status</t>
  </si>
  <si>
    <t>Mã đề xuất</t>
  </si>
  <si>
    <t>Ghi chú</t>
  </si>
  <si>
    <t>Ngày ứng tuyển</t>
  </si>
  <si>
    <t>Mã tin đăng đa kênh</t>
  </si>
  <si>
    <t>Ngày gửi hồ sơ cho đơn vị</t>
  </si>
  <si>
    <t>Ngày đơn vị phản hồi hồ sơ</t>
  </si>
  <si>
    <t>Điểm Ngoại hình</t>
  </si>
  <si>
    <t>Đánh giá của tuyển dụng</t>
  </si>
  <si>
    <t>Thời gian bắt đầu hưởng LTG</t>
  </si>
  <si>
    <t>Thời gian kết thúc hưởng LTG</t>
  </si>
  <si>
    <t>Ghi chú lương</t>
  </si>
  <si>
    <t>Status Offer ứng viên/trả kết quả PTNL</t>
  </si>
  <si>
    <t>Ngày UV đồng ý Offer (nguồn ngoài)/Ngày gửi PTNL  (Nội bộ - PTNL)/Ngày GĐK phê duyệt (Nội bộ - TD)</t>
  </si>
  <si>
    <t>Nhập HCM</t>
  </si>
  <si>
    <t>Đoàn Thị Thu Phương</t>
  </si>
  <si>
    <t>thiphuongthu1706@gmail.com</t>
  </si>
  <si>
    <t>0394226100</t>
  </si>
  <si>
    <t>13/06/2001</t>
  </si>
  <si>
    <t>Nữ</t>
  </si>
  <si>
    <t>Đại học</t>
  </si>
  <si>
    <t>Học Viện Ngân Hàng</t>
  </si>
  <si>
    <t>Tài Chính - Ngân Hàng</t>
  </si>
  <si>
    <t xml:space="preserve">- Dễ thích nghi với môi trường mới nhanh. Hoà đồng, thân thiện, có khả năng giao tiếp tốt.
- Cẩn thận, chỉnh chu, có trách nhiệm trong công việc.    </t>
  </si>
  <si>
    <t>Chưa có nhiều kinh nghiệm trong vị trí giao dịch viên</t>
  </si>
  <si>
    <t>NGƯỜI CÓ THỂ THAM KHẢO THÔNG TIN (CBQL trực tiếp, Thầy/Cô, đồng nghiệp…)</t>
  </si>
  <si>
    <t>011301003142</t>
  </si>
  <si>
    <t>Điện Biên</t>
  </si>
  <si>
    <t>24/06/2021</t>
  </si>
  <si>
    <t>158</t>
  </si>
  <si>
    <t>46</t>
  </si>
  <si>
    <t>Độc thân</t>
  </si>
  <si>
    <t>Kinh</t>
  </si>
  <si>
    <t>Khối Tân Giang, Thị Trấn Tuần Giáo</t>
  </si>
  <si>
    <t>Huyện Tuần Giáo</t>
  </si>
  <si>
    <t>Mjob</t>
  </si>
  <si>
    <t>CN. Điện Biên</t>
  </si>
  <si>
    <t>01/2023 - 05/2023: Thực tập sinh - Công ty TNHH Xây Dựng Đoàn Lân tỉnh Điện Biên
05/2022 - 08/2022: Thực tập sinh - Ngân hàng Á Châu ACB
10/2020 - 06/2021: Nhân viên bán hàng - JM Dress Design</t>
  </si>
  <si>
    <t>KN Bank &lt; 1 năm</t>
  </si>
  <si>
    <t>Chuyên viên Hỗ trợ</t>
  </si>
  <si>
    <t>14h15</t>
  </si>
  <si>
    <t>Hội trường Tầng 2, Khách sạn Mường Thanh Điện Biên</t>
  </si>
  <si>
    <t>Đạt</t>
  </si>
  <si>
    <t>2023.TD.7.114</t>
  </si>
  <si>
    <t>RM Tập sự KHCN</t>
  </si>
  <si>
    <t/>
  </si>
  <si>
    <t>Phòng Khách hàng Cá nhân</t>
  </si>
  <si>
    <t>Đã gửi Email</t>
  </si>
  <si>
    <t>Done</t>
  </si>
  <si>
    <t xml:space="preserve">Đoàn Thị Thu </t>
  </si>
  <si>
    <t>Phương</t>
  </si>
  <si>
    <t>RM Tập sự KHCN - Phòng Khách hàng Cá nhân - CN. Điện Biên</t>
  </si>
  <si>
    <t>Đề xuất phê duyệt kết quả tuyển dụng, tiếp nhận khi có định biên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</si>
</sst>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_-* #,##0_-;\-* #,##0_-;_-* &quot;-&quot;??_-;_-@_-"/>
  </numFmts>
  <fonts count="23" x14ac:knownFonts="1">
    <font>
      <sz val="11"/>
      <color theme="1"/>
      <name val="Calibri"/>
      <family val="2"/>
      <scheme val="minor"/>
    </font>
    <font>
      <sz val="12"/>
      <color rgb="FF000000"/>
      <name val="Times New Roman"/>
      <family val="1"/>
    </font>
    <font>
      <sz val="9"/>
      <color rgb="FF000000"/>
      <name val="Times New Roman"/>
      <family val="1"/>
    </font>
    <font>
      <b/>
      <sz val="15"/>
      <color rgb="FF000000"/>
      <name val="Times New Roman"/>
      <family val="1"/>
    </font>
    <font>
      <b/>
      <sz val="9"/>
      <color rgb="FF000000"/>
      <name val="Times New Roman"/>
      <family val="1"/>
    </font>
    <font>
      <b/>
      <sz val="16"/>
      <color rgb="FF000000"/>
      <name val="Times New Roman"/>
      <family val="1"/>
    </font>
    <font>
      <b/>
      <sz val="12"/>
      <color rgb="FF000000"/>
      <name val="Times New Roman"/>
      <family val="1"/>
    </font>
    <font>
      <b/>
      <sz val="11"/>
      <color theme="1"/>
      <name val="Times New Roman"/>
      <family val="1"/>
    </font>
    <font>
      <sz val="11"/>
      <color theme="1"/>
      <name val="Times New Roman"/>
      <family val="1"/>
    </font>
    <font>
      <b/>
      <sz val="11"/>
      <color rgb="FF000000"/>
      <name val="Times New Roman"/>
      <family val="1"/>
    </font>
    <font>
      <b/>
      <sz val="10"/>
      <color rgb="FF000000"/>
      <name val="Times New Roman"/>
      <family val="1"/>
    </font>
    <font>
      <b/>
      <i/>
      <sz val="12"/>
      <color rgb="FF000000"/>
      <name val="Times New Roman"/>
      <family val="1"/>
    </font>
    <font>
      <sz val="11"/>
      <color rgb="FF000000"/>
      <name val="Calibri"/>
      <family val="2"/>
    </font>
    <font>
      <sz val="10.5"/>
      <color theme="1"/>
      <name val="Times New Roman"/>
      <family val="1"/>
    </font>
    <font>
      <sz val="11"/>
      <color theme="1"/>
      <name val="Calibri"/>
      <family val="2"/>
      <scheme val="minor"/>
    </font>
    <font>
      <b/>
      <sz val="10"/>
      <color theme="1"/>
      <name val="Calibri"/>
      <family val="2"/>
      <scheme val="minor"/>
    </font>
    <font>
      <sz val="10"/>
      <color theme="1"/>
      <name val="Times New Roman"/>
      <family val="1"/>
    </font>
    <font>
      <u/>
      <sz val="11"/>
      <color theme="10"/>
      <name val="Calibri"/>
      <family val="2"/>
      <scheme val="minor"/>
    </font>
    <font>
      <sz val="10"/>
      <color theme="1"/>
      <name val="Calibri"/>
      <family val="2"/>
      <scheme val="minor"/>
    </font>
    <font>
      <sz val="10"/>
      <color theme="10"/>
      <name val="Calibri"/>
      <family val="2"/>
      <scheme val="minor"/>
    </font>
    <font>
      <sz val="10"/>
      <color rgb="FF000000"/>
      <name val="Calibri"/>
      <family val="2"/>
      <scheme val="minor"/>
    </font>
    <font>
      <b/>
      <sz val="10"/>
      <color theme="1"/>
      <name val="Times New Roman"/>
      <family val="1"/>
    </font>
    <font>
      <sz val="8"/>
      <color rgb="FF000000"/>
      <name val="Segoe UI"/>
      <family val="2"/>
    </font>
  </fonts>
  <fills count="11">
    <fill>
      <patternFill patternType="none"/>
    </fill>
    <fill>
      <patternFill patternType="gray125"/>
    </fill>
    <fill>
      <patternFill patternType="solid">
        <fgColor rgb="FFFFFFFF"/>
        <bgColor rgb="FF000000"/>
      </patternFill>
    </fill>
    <fill>
      <patternFill patternType="solid">
        <fgColor indexed="9"/>
        <bgColor indexed="64"/>
      </patternFill>
    </fill>
    <fill>
      <patternFill patternType="solid">
        <fgColor rgb="FFA0D2FF"/>
        <bgColor rgb="FF000000"/>
      </patternFill>
    </fill>
    <fill>
      <patternFill patternType="solid">
        <fgColor theme="0"/>
        <bgColor indexed="64"/>
      </patternFill>
    </fill>
    <fill>
      <patternFill patternType="solid">
        <fgColor theme="0"/>
        <bgColor rgb="FF000000"/>
      </patternFill>
    </fill>
    <fill>
      <patternFill patternType="solid">
        <fgColor rgb="FFA0D2FF"/>
        <bgColor indexed="64"/>
      </patternFill>
    </fill>
    <fill>
      <patternFill patternType="solid">
        <fgColor rgb="FF9BE6C8"/>
        <bgColor indexed="64"/>
      </patternFill>
    </fill>
    <fill>
      <patternFill patternType="solid">
        <fgColor rgb="FFB4A5FA"/>
        <bgColor indexed="64"/>
      </patternFill>
    </fill>
    <fill>
      <patternFill patternType="solid">
        <fgColor theme="9" tint="0.79998168889431442"/>
        <bgColor indexed="64"/>
      </patternFill>
    </fill>
  </fills>
  <borders count="9">
    <border>
      <left/>
      <right/>
      <top/>
      <bottom/>
      <diagonal/>
    </border>
    <border>
      <left/>
      <right/>
      <top/>
      <bottom style="thin">
        <color auto="1"/>
      </bottom>
      <diagonal/>
    </border>
    <border>
      <left/>
      <right/>
      <top style="thin">
        <color indexed="64"/>
      </top>
      <bottom/>
      <diagonal/>
    </border>
    <border>
      <left/>
      <right/>
      <top style="thin">
        <color indexed="64"/>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hair">
        <color auto="1"/>
      </left>
      <right/>
      <top style="hair">
        <color auto="1"/>
      </top>
      <bottom/>
      <diagonal/>
    </border>
    <border>
      <left style="hair">
        <color auto="1"/>
      </left>
      <right/>
      <top/>
      <bottom style="hair">
        <color auto="1"/>
      </bottom>
      <diagonal/>
    </border>
    <border>
      <left style="thin">
        <color indexed="64"/>
      </left>
      <right style="thin">
        <color indexed="64"/>
      </right>
      <top style="thin">
        <color indexed="64"/>
      </top>
      <bottom style="thin">
        <color indexed="64"/>
      </bottom>
      <diagonal/>
    </border>
  </borders>
  <cellStyleXfs count="4">
    <xf numFmtId="0" fontId="0" fillId="0" borderId="0"/>
    <xf numFmtId="9" fontId="14" fillId="0" borderId="0" applyFont="0" applyFill="0" applyBorder="0" applyAlignment="0" applyProtection="0"/>
    <xf numFmtId="43" fontId="14" fillId="0" borderId="0" applyFont="0" applyFill="0" applyBorder="0" applyAlignment="0" applyProtection="0"/>
    <xf numFmtId="0" fontId="17" fillId="0" borderId="0" applyNumberFormat="0" applyFill="0" applyBorder="0" applyAlignment="0" applyProtection="0"/>
  </cellStyleXfs>
  <cellXfs count="96">
    <xf numFmtId="0" fontId="0" fillId="0" borderId="0" xfId="0"/>
    <xf numFmtId="0" fontId="1" fillId="2" borderId="0" xfId="0" applyFont="1" applyFill="1" applyAlignment="1" applyProtection="1">
      <alignment horizontal="center" vertical="center" wrapText="1"/>
      <protection locked="0"/>
    </xf>
    <xf numFmtId="0" fontId="1" fillId="6" borderId="0" xfId="0" applyFont="1" applyFill="1" applyAlignment="1" applyProtection="1">
      <alignment horizontal="center" vertical="center" wrapText="1"/>
      <protection locked="0"/>
    </xf>
    <xf numFmtId="0" fontId="7" fillId="3" borderId="0" xfId="0" applyFont="1" applyFill="1" applyAlignment="1" applyProtection="1">
      <alignment vertical="center"/>
      <protection locked="0"/>
    </xf>
    <xf numFmtId="0" fontId="8" fillId="3" borderId="0" xfId="0" applyFont="1" applyFill="1" applyAlignment="1" applyProtection="1">
      <alignment vertical="center"/>
      <protection locked="0"/>
    </xf>
    <xf numFmtId="0" fontId="8" fillId="3" borderId="2" xfId="0" applyFont="1" applyFill="1" applyBorder="1" applyAlignment="1" applyProtection="1">
      <alignment vertical="center"/>
      <protection locked="0"/>
    </xf>
    <xf numFmtId="0" fontId="10" fillId="0" borderId="4" xfId="0" applyFont="1" applyBorder="1" applyAlignment="1">
      <alignment horizontal="left" vertical="center"/>
    </xf>
    <xf numFmtId="0" fontId="8" fillId="0" borderId="0" xfId="0" applyFont="1"/>
    <xf numFmtId="0" fontId="8" fillId="0" borderId="0" xfId="0" quotePrefix="1" applyFont="1"/>
    <xf numFmtId="0" fontId="13" fillId="0" borderId="4" xfId="0" applyFont="1" applyBorder="1" applyAlignment="1">
      <alignment horizontal="center" vertical="center" wrapText="1"/>
    </xf>
    <xf numFmtId="0" fontId="6" fillId="5" borderId="0" xfId="0" applyFont="1" applyFill="1" applyAlignment="1" applyProtection="1">
      <alignment horizontal="center" vertical="center" wrapText="1"/>
      <protection locked="0"/>
    </xf>
    <xf numFmtId="0" fontId="2" fillId="2" borderId="0" xfId="0" applyFont="1" applyFill="1" applyAlignment="1" applyProtection="1">
      <alignment horizontal="center" vertical="center" wrapText="1"/>
      <protection locked="0"/>
    </xf>
    <xf numFmtId="0" fontId="1" fillId="2" borderId="0" xfId="0" applyFont="1" applyFill="1" applyAlignment="1" applyProtection="1">
      <alignment horizontal="left" vertical="center" wrapText="1"/>
      <protection locked="0"/>
    </xf>
    <xf numFmtId="0" fontId="3" fillId="2" borderId="0" xfId="0" applyFont="1" applyFill="1" applyAlignment="1" applyProtection="1">
      <alignment vertical="center"/>
      <protection locked="0"/>
    </xf>
    <xf numFmtId="0" fontId="4" fillId="2" borderId="0" xfId="0" applyFont="1" applyFill="1" applyAlignment="1" applyProtection="1">
      <alignment horizontal="center" vertical="center" wrapText="1"/>
      <protection locked="0"/>
    </xf>
    <xf numFmtId="0" fontId="3" fillId="2" borderId="0" xfId="0" applyFont="1" applyFill="1" applyAlignment="1" applyProtection="1">
      <alignment vertical="center" wrapText="1"/>
      <protection locked="0"/>
    </xf>
    <xf numFmtId="0" fontId="5" fillId="2" borderId="0" xfId="0" applyFont="1" applyFill="1" applyAlignment="1" applyProtection="1">
      <alignment horizontal="center" vertical="center" wrapText="1"/>
      <protection locked="0"/>
    </xf>
    <xf numFmtId="0" fontId="6" fillId="2" borderId="0" xfId="0" applyFont="1" applyFill="1" applyAlignment="1" applyProtection="1">
      <alignment horizontal="left" vertical="center"/>
      <protection locked="0"/>
    </xf>
    <xf numFmtId="0" fontId="6" fillId="2" borderId="0" xfId="0" applyFont="1" applyFill="1" applyAlignment="1" applyProtection="1">
      <alignment horizontal="center" vertical="center" wrapText="1"/>
      <protection locked="0"/>
    </xf>
    <xf numFmtId="0" fontId="6" fillId="2" borderId="0" xfId="0" applyFont="1" applyFill="1" applyAlignment="1" applyProtection="1">
      <alignment vertical="center"/>
      <protection locked="0"/>
    </xf>
    <xf numFmtId="0" fontId="7" fillId="3" borderId="0" xfId="0" applyFont="1" applyFill="1" applyAlignment="1" applyProtection="1">
      <alignment vertical="center" wrapText="1"/>
      <protection locked="0"/>
    </xf>
    <xf numFmtId="0" fontId="6" fillId="2" borderId="0" xfId="0" applyFont="1" applyFill="1" applyAlignment="1" applyProtection="1">
      <alignment horizontal="left" vertical="center" wrapText="1"/>
      <protection locked="0"/>
    </xf>
    <xf numFmtId="0" fontId="9" fillId="2" borderId="0" xfId="0" applyFont="1" applyFill="1" applyAlignment="1" applyProtection="1">
      <alignment horizontal="center" vertical="center" wrapText="1"/>
      <protection locked="0"/>
    </xf>
    <xf numFmtId="0" fontId="9" fillId="2" borderId="0" xfId="0" applyFont="1" applyFill="1" applyAlignment="1" applyProtection="1">
      <alignment horizontal="left" vertical="center" wrapText="1"/>
      <protection locked="0"/>
    </xf>
    <xf numFmtId="0" fontId="9" fillId="2" borderId="0" xfId="0" applyFont="1" applyFill="1" applyAlignment="1" applyProtection="1">
      <alignment vertical="center" wrapText="1"/>
      <protection locked="0"/>
    </xf>
    <xf numFmtId="0" fontId="9" fillId="2" borderId="0" xfId="0" applyFont="1" applyFill="1" applyAlignment="1" applyProtection="1">
      <alignment horizontal="left" vertical="center"/>
      <protection locked="0"/>
    </xf>
    <xf numFmtId="0" fontId="9" fillId="2" borderId="0" xfId="0" applyFont="1" applyFill="1" applyAlignment="1" applyProtection="1">
      <alignment vertical="center"/>
      <protection locked="0"/>
    </xf>
    <xf numFmtId="0" fontId="9" fillId="2" borderId="1" xfId="0" applyFont="1" applyFill="1" applyBorder="1" applyAlignment="1" applyProtection="1">
      <alignment vertical="center" wrapText="1"/>
      <protection locked="0"/>
    </xf>
    <xf numFmtId="0" fontId="9" fillId="2" borderId="1" xfId="0" applyFont="1" applyFill="1" applyBorder="1" applyAlignment="1" applyProtection="1">
      <alignment horizontal="left" vertical="center"/>
      <protection locked="0"/>
    </xf>
    <xf numFmtId="0" fontId="9" fillId="2" borderId="1" xfId="0" applyFont="1" applyFill="1" applyBorder="1" applyAlignment="1" applyProtection="1">
      <alignment vertical="center"/>
      <protection locked="0"/>
    </xf>
    <xf numFmtId="0" fontId="7" fillId="3" borderId="2" xfId="0" applyFont="1" applyFill="1" applyBorder="1" applyAlignment="1" applyProtection="1">
      <alignment vertical="center" wrapText="1"/>
      <protection locked="0"/>
    </xf>
    <xf numFmtId="0" fontId="9" fillId="2" borderId="2" xfId="0" applyFont="1" applyFill="1" applyBorder="1" applyAlignment="1" applyProtection="1">
      <alignment horizontal="left" vertical="center" wrapText="1"/>
      <protection locked="0"/>
    </xf>
    <xf numFmtId="0" fontId="9" fillId="2" borderId="2" xfId="0" applyFont="1" applyFill="1" applyBorder="1" applyAlignment="1" applyProtection="1">
      <alignment horizontal="center" vertical="center" wrapText="1"/>
      <protection locked="0"/>
    </xf>
    <xf numFmtId="0" fontId="9" fillId="2" borderId="2" xfId="0" applyFont="1" applyFill="1" applyBorder="1" applyAlignment="1" applyProtection="1">
      <alignment vertical="center" wrapText="1"/>
      <protection locked="0"/>
    </xf>
    <xf numFmtId="0" fontId="9" fillId="2" borderId="2" xfId="0" applyFont="1" applyFill="1" applyBorder="1" applyAlignment="1" applyProtection="1">
      <alignment horizontal="left" vertical="center"/>
      <protection locked="0"/>
    </xf>
    <xf numFmtId="0" fontId="9" fillId="2" borderId="3" xfId="0" applyFont="1" applyFill="1" applyBorder="1" applyAlignment="1" applyProtection="1">
      <alignment vertical="center"/>
      <protection locked="0"/>
    </xf>
    <xf numFmtId="0" fontId="9" fillId="2" borderId="3" xfId="0" applyFont="1" applyFill="1" applyBorder="1" applyAlignment="1" applyProtection="1">
      <alignment horizontal="left" vertical="center"/>
      <protection locked="0"/>
    </xf>
    <xf numFmtId="0" fontId="13" fillId="0" borderId="4" xfId="0" applyFont="1" applyBorder="1" applyAlignment="1">
      <alignment horizontal="left" vertical="center" wrapText="1"/>
    </xf>
    <xf numFmtId="0" fontId="1" fillId="6" borderId="0" xfId="0" applyFont="1" applyFill="1" applyAlignment="1">
      <alignment horizontal="center" vertical="center" wrapText="1"/>
    </xf>
    <xf numFmtId="0" fontId="1" fillId="6" borderId="0" xfId="0" applyFont="1" applyFill="1" applyAlignment="1">
      <alignment horizontal="left" vertical="center" wrapText="1"/>
    </xf>
    <xf numFmtId="0" fontId="1" fillId="6" borderId="0" xfId="0" quotePrefix="1" applyFont="1" applyFill="1" applyAlignment="1" applyProtection="1">
      <alignment horizontal="center" vertical="center" wrapText="1"/>
      <protection locked="0"/>
    </xf>
    <xf numFmtId="0" fontId="1" fillId="6" borderId="0" xfId="0" applyFont="1" applyFill="1" applyAlignment="1" applyProtection="1">
      <alignment vertical="center" wrapText="1"/>
      <protection locked="0"/>
    </xf>
    <xf numFmtId="0" fontId="11" fillId="5" borderId="0" xfId="0" applyFont="1" applyFill="1" applyAlignment="1" applyProtection="1">
      <alignment horizontal="left" vertical="center" wrapText="1"/>
      <protection locked="0"/>
    </xf>
    <xf numFmtId="0" fontId="16" fillId="7" borderId="8" xfId="0" applyFont="1" applyFill="1" applyBorder="1" applyAlignment="1" applyProtection="1">
      <alignment vertical="center"/>
      <protection locked="0"/>
    </xf>
    <xf numFmtId="0" fontId="16" fillId="8" borderId="8" xfId="0" applyFont="1" applyFill="1" applyBorder="1" applyAlignment="1" applyProtection="1">
      <alignment vertical="center"/>
      <protection locked="0"/>
    </xf>
    <xf numFmtId="14" fontId="16" fillId="8" borderId="8" xfId="1" applyNumberFormat="1" applyFont="1" applyFill="1" applyBorder="1" applyAlignment="1" applyProtection="1">
      <alignment horizontal="center" vertical="center"/>
      <protection locked="0"/>
    </xf>
    <xf numFmtId="0" fontId="16" fillId="8" borderId="8" xfId="0" applyFont="1" applyFill="1" applyBorder="1" applyAlignment="1" applyProtection="1">
      <alignment horizontal="center" vertical="center"/>
      <protection locked="0"/>
    </xf>
    <xf numFmtId="0" fontId="16" fillId="5" borderId="8" xfId="1" applyNumberFormat="1" applyFont="1" applyFill="1" applyBorder="1" applyAlignment="1" applyProtection="1">
      <alignment horizontal="center" vertical="center"/>
      <protection locked="0"/>
    </xf>
    <xf numFmtId="165" fontId="16" fillId="8" borderId="8" xfId="2" applyNumberFormat="1" applyFont="1" applyFill="1" applyBorder="1" applyAlignment="1" applyProtection="1">
      <alignment horizontal="center" vertical="center"/>
      <protection locked="0"/>
    </xf>
    <xf numFmtId="0" fontId="16" fillId="8" borderId="8" xfId="1" applyNumberFormat="1" applyFont="1" applyFill="1" applyBorder="1" applyAlignment="1" applyProtection="1">
      <alignment horizontal="center" vertical="center"/>
      <protection locked="0"/>
    </xf>
    <xf numFmtId="0" fontId="16" fillId="8" borderId="8" xfId="0" applyFont="1" applyFill="1" applyBorder="1" applyAlignment="1" applyProtection="1">
      <alignment horizontal="left" vertical="center"/>
      <protection locked="0"/>
    </xf>
    <xf numFmtId="0" fontId="16" fillId="9" borderId="8" xfId="0" applyFont="1" applyFill="1" applyBorder="1" applyAlignment="1" applyProtection="1">
      <alignment horizontal="left" vertical="center"/>
      <protection locked="0"/>
    </xf>
    <xf numFmtId="0" fontId="16" fillId="7" borderId="8" xfId="0" applyFont="1" applyFill="1" applyBorder="1" applyAlignment="1" applyProtection="1">
      <alignment vertical="top" wrapText="1"/>
      <protection locked="0"/>
    </xf>
    <xf numFmtId="49" fontId="16" fillId="8" borderId="8" xfId="1" applyNumberFormat="1" applyFont="1" applyFill="1" applyBorder="1" applyAlignment="1" applyProtection="1">
      <alignment horizontal="center" vertical="center"/>
      <protection locked="0"/>
    </xf>
    <xf numFmtId="0" fontId="18" fillId="0" borderId="8" xfId="0" applyFont="1" applyBorder="1" applyAlignment="1" applyProtection="1">
      <alignment horizontal="left" vertical="center"/>
      <protection locked="0"/>
    </xf>
    <xf numFmtId="49" fontId="19" fillId="5" borderId="8" xfId="3" applyNumberFormat="1" applyFont="1" applyFill="1" applyBorder="1" applyAlignment="1" applyProtection="1">
      <alignment horizontal="left" vertical="center"/>
      <protection locked="0"/>
    </xf>
    <xf numFmtId="49" fontId="18" fillId="5" borderId="8" xfId="0" applyNumberFormat="1" applyFont="1" applyFill="1" applyBorder="1" applyAlignment="1" applyProtection="1">
      <alignment horizontal="left" vertical="center"/>
      <protection locked="0"/>
    </xf>
    <xf numFmtId="14" fontId="16" fillId="5" borderId="8" xfId="1" applyNumberFormat="1" applyFont="1" applyFill="1" applyBorder="1" applyAlignment="1" applyProtection="1">
      <alignment horizontal="center"/>
      <protection locked="0"/>
    </xf>
    <xf numFmtId="14" fontId="16" fillId="5" borderId="8" xfId="0" applyNumberFormat="1" applyFont="1" applyFill="1" applyBorder="1" applyAlignment="1" applyProtection="1">
      <alignment horizontal="left" vertical="center"/>
      <protection locked="0"/>
    </xf>
    <xf numFmtId="0" fontId="18" fillId="7" borderId="8" xfId="0" applyFont="1" applyFill="1" applyBorder="1" applyAlignment="1" applyProtection="1">
      <alignment horizontal="left" vertical="center"/>
      <protection locked="0"/>
    </xf>
    <xf numFmtId="14" fontId="18" fillId="5" borderId="8" xfId="0" applyNumberFormat="1" applyFont="1" applyFill="1" applyBorder="1" applyAlignment="1" applyProtection="1">
      <alignment horizontal="left" vertical="center"/>
      <protection locked="0"/>
    </xf>
    <xf numFmtId="0" fontId="18" fillId="5" borderId="8" xfId="0" applyFont="1" applyFill="1" applyBorder="1" applyAlignment="1" applyProtection="1">
      <alignment horizontal="left" vertical="center"/>
      <protection locked="0"/>
    </xf>
    <xf numFmtId="14" fontId="18" fillId="7" borderId="8" xfId="0" applyNumberFormat="1" applyFont="1" applyFill="1" applyBorder="1" applyAlignment="1" applyProtection="1">
      <alignment horizontal="left" vertical="center"/>
      <protection locked="0"/>
    </xf>
    <xf numFmtId="0" fontId="20" fillId="5" borderId="8" xfId="0" applyFont="1" applyFill="1" applyBorder="1" applyAlignment="1" applyProtection="1">
      <alignment horizontal="left" vertical="center"/>
      <protection locked="0"/>
    </xf>
    <xf numFmtId="14" fontId="16" fillId="7" borderId="8" xfId="0" applyNumberFormat="1" applyFont="1" applyFill="1" applyBorder="1" applyAlignment="1" applyProtection="1">
      <alignment horizontal="left"/>
      <protection locked="0"/>
    </xf>
    <xf numFmtId="164" fontId="18" fillId="7" borderId="8" xfId="0" applyNumberFormat="1" applyFont="1" applyFill="1" applyBorder="1" applyAlignment="1" applyProtection="1">
      <alignment horizontal="left" vertical="center"/>
      <protection locked="0"/>
    </xf>
    <xf numFmtId="49" fontId="18" fillId="7" borderId="8" xfId="1" applyNumberFormat="1" applyFont="1" applyFill="1" applyBorder="1" applyAlignment="1" applyProtection="1">
      <alignment horizontal="left" vertical="center"/>
      <protection locked="0"/>
    </xf>
    <xf numFmtId="0" fontId="0" fillId="0" borderId="0" xfId="0" applyProtection="1">
      <protection locked="0"/>
    </xf>
    <xf numFmtId="0" fontId="15" fillId="8" borderId="8" xfId="0" applyFont="1" applyFill="1" applyBorder="1" applyAlignment="1" applyProtection="1">
      <alignment horizontal="center" vertical="center" wrapText="1"/>
      <protection locked="0"/>
    </xf>
    <xf numFmtId="49" fontId="15" fillId="8" borderId="8" xfId="0" applyNumberFormat="1" applyFont="1" applyFill="1" applyBorder="1" applyAlignment="1" applyProtection="1">
      <alignment horizontal="center" vertical="center" wrapText="1"/>
      <protection locked="0"/>
    </xf>
    <xf numFmtId="49" fontId="15" fillId="8" borderId="8" xfId="0" applyNumberFormat="1" applyFont="1" applyFill="1" applyBorder="1" applyAlignment="1" applyProtection="1">
      <alignment horizontal="left" vertical="center"/>
      <protection locked="0"/>
    </xf>
    <xf numFmtId="14" fontId="15" fillId="8" borderId="8" xfId="0" applyNumberFormat="1" applyFont="1" applyFill="1" applyBorder="1" applyAlignment="1" applyProtection="1">
      <alignment horizontal="center" vertical="center" wrapText="1"/>
      <protection locked="0"/>
    </xf>
    <xf numFmtId="0" fontId="15" fillId="7" borderId="8" xfId="0" applyFont="1" applyFill="1" applyBorder="1" applyAlignment="1" applyProtection="1">
      <alignment horizontal="center" vertical="center" wrapText="1"/>
      <protection locked="0"/>
    </xf>
    <xf numFmtId="0" fontId="15" fillId="8" borderId="8" xfId="0" applyFont="1" applyFill="1" applyBorder="1" applyAlignment="1" applyProtection="1">
      <alignment horizontal="left" vertical="center" wrapText="1"/>
      <protection locked="0"/>
    </xf>
    <xf numFmtId="0" fontId="21" fillId="9" borderId="8" xfId="0" applyFont="1" applyFill="1" applyBorder="1" applyAlignment="1">
      <alignment horizontal="center" vertical="center" wrapText="1"/>
    </xf>
    <xf numFmtId="14" fontId="15" fillId="7" borderId="8" xfId="0" applyNumberFormat="1" applyFont="1" applyFill="1" applyBorder="1" applyAlignment="1" applyProtection="1">
      <alignment horizontal="center" vertical="center" wrapText="1"/>
      <protection locked="0"/>
    </xf>
    <xf numFmtId="0" fontId="21" fillId="8" borderId="8" xfId="0" applyFont="1" applyFill="1" applyBorder="1" applyAlignment="1">
      <alignment horizontal="center" vertical="center" wrapText="1"/>
    </xf>
    <xf numFmtId="49" fontId="21" fillId="8" borderId="8" xfId="1" applyNumberFormat="1" applyFont="1" applyFill="1" applyBorder="1" applyAlignment="1" applyProtection="1">
      <alignment horizontal="center" vertical="center" wrapText="1"/>
    </xf>
    <xf numFmtId="0" fontId="21" fillId="8" borderId="8" xfId="1" applyNumberFormat="1" applyFont="1" applyFill="1" applyBorder="1" applyAlignment="1" applyProtection="1">
      <alignment horizontal="center" vertical="center" wrapText="1"/>
    </xf>
    <xf numFmtId="0" fontId="21" fillId="8" borderId="8" xfId="2" applyNumberFormat="1" applyFont="1" applyFill="1" applyBorder="1" applyAlignment="1" applyProtection="1">
      <alignment horizontal="center" vertical="center" wrapText="1"/>
    </xf>
    <xf numFmtId="0" fontId="21" fillId="7" borderId="8" xfId="0" applyFont="1" applyFill="1" applyBorder="1" applyAlignment="1">
      <alignment horizontal="center" vertical="center" wrapText="1"/>
    </xf>
    <xf numFmtId="0" fontId="18" fillId="0" borderId="0" xfId="0" applyFont="1" applyAlignment="1" applyProtection="1">
      <alignment horizontal="center" vertical="center" wrapText="1"/>
      <protection locked="0"/>
    </xf>
    <xf numFmtId="14" fontId="13" fillId="0" borderId="4" xfId="0" applyNumberFormat="1" applyFont="1" applyBorder="1" applyAlignment="1">
      <alignment horizontal="center" vertical="center" wrapText="1"/>
    </xf>
    <xf numFmtId="49" fontId="16" fillId="5" borderId="8" xfId="0" applyNumberFormat="1" applyFont="1" applyFill="1" applyBorder="1" applyAlignment="1" applyProtection="1">
      <alignment horizontal="left" vertical="center"/>
      <protection locked="0"/>
    </xf>
    <xf numFmtId="0" fontId="13" fillId="0" borderId="4" xfId="0" quotePrefix="1" applyFont="1" applyBorder="1" applyAlignment="1">
      <alignment horizontal="left" vertical="center" wrapText="1"/>
    </xf>
    <xf numFmtId="0" fontId="6" fillId="5" borderId="0" xfId="0" applyFont="1" applyFill="1" applyAlignment="1" applyProtection="1">
      <alignment horizontal="center" vertical="center" wrapText="1"/>
      <protection locked="0"/>
    </xf>
    <xf numFmtId="0" fontId="8" fillId="5" borderId="5" xfId="0" applyFont="1" applyFill="1" applyBorder="1" applyAlignment="1">
      <alignment horizontal="left" vertical="center" wrapText="1"/>
    </xf>
    <xf numFmtId="0" fontId="8" fillId="3" borderId="0" xfId="0" applyFont="1" applyFill="1" applyAlignment="1" applyProtection="1">
      <alignment horizontal="left" vertical="center" wrapText="1"/>
      <protection locked="0"/>
    </xf>
    <xf numFmtId="0" fontId="10" fillId="4" borderId="4" xfId="0" applyFont="1" applyFill="1" applyBorder="1" applyAlignment="1" applyProtection="1">
      <alignment horizontal="center" vertical="center" wrapText="1"/>
      <protection locked="0"/>
    </xf>
    <xf numFmtId="0" fontId="10" fillId="4" borderId="6" xfId="0" applyFont="1" applyFill="1" applyBorder="1" applyAlignment="1" applyProtection="1">
      <alignment horizontal="center" vertical="center" wrapText="1"/>
      <protection locked="0"/>
    </xf>
    <xf numFmtId="0" fontId="10" fillId="4" borderId="7" xfId="0" applyFont="1" applyFill="1" applyBorder="1" applyAlignment="1" applyProtection="1">
      <alignment horizontal="center" vertical="center" wrapText="1"/>
      <protection locked="0"/>
    </xf>
    <xf numFmtId="0" fontId="6" fillId="6" borderId="0" xfId="0" applyFont="1" applyFill="1" applyAlignment="1" applyProtection="1">
      <alignment horizontal="center" vertical="center" wrapText="1"/>
      <protection locked="0"/>
    </xf>
    <xf numFmtId="14" fontId="16" fillId="10" borderId="8" xfId="1" applyNumberFormat="1" applyFont="1" applyFill="1" applyBorder="1" applyAlignment="1" applyProtection="1">
      <alignment horizontal="center" vertical="center"/>
      <protection locked="0"/>
    </xf>
    <xf numFmtId="0" fontId="16" fillId="10" borderId="8" xfId="1" applyNumberFormat="1" applyFont="1" applyFill="1" applyBorder="1" applyAlignment="1" applyProtection="1">
      <alignment horizontal="center" vertical="center"/>
      <protection locked="0"/>
    </xf>
    <xf numFmtId="0" fontId="16" fillId="10" borderId="8" xfId="0" applyFont="1" applyFill="1" applyBorder="1" applyAlignment="1" applyProtection="1">
      <alignment horizontal="left" vertical="center"/>
      <protection locked="0"/>
    </xf>
    <xf numFmtId="0" fontId="16" fillId="10" borderId="8" xfId="0" applyFont="1" applyFill="1" applyBorder="1" applyAlignment="1" applyProtection="1">
      <alignment vertical="top"/>
      <protection locked="0"/>
    </xf>
  </cellXfs>
  <cellStyles count="4">
    <cellStyle name="Comma" xfId="2" builtinId="3"/>
    <cellStyle name="Hyperlink" xfId="3" builtinId="8"/>
    <cellStyle name="Normal" xfId="0" builtinId="0"/>
    <cellStyle name="Percent" xfId="1" builtinId="5"/>
  </cellStyles>
  <dxfs count="40">
    <dxf>
      <font>
        <color rgb="FF006100"/>
      </font>
      <fill>
        <patternFill>
          <bgColor rgb="FFC6EFCE"/>
        </patternFill>
      </fill>
    </dxf>
    <dxf>
      <font>
        <color auto="1"/>
      </font>
      <fill>
        <patternFill>
          <bgColor rgb="FF92D050"/>
        </patternFill>
      </fill>
    </dxf>
    <dxf>
      <fill>
        <patternFill>
          <bgColor rgb="FFFF7D7D"/>
        </patternFill>
      </fill>
    </dxf>
    <dxf>
      <fill>
        <patternFill>
          <bgColor theme="9" tint="0.59996337778862885"/>
        </patternFill>
      </fill>
    </dxf>
    <dxf>
      <fill>
        <patternFill>
          <bgColor theme="9" tint="0.79998168889431442"/>
        </patternFill>
      </fill>
    </dxf>
    <dxf>
      <fill>
        <patternFill>
          <bgColor theme="7" tint="0.79998168889431442"/>
        </patternFill>
      </fill>
    </dxf>
    <dxf>
      <fill>
        <patternFill>
          <bgColor rgb="FF92D050"/>
        </patternFill>
      </fill>
    </dxf>
    <dxf>
      <fill>
        <patternFill>
          <bgColor theme="2" tint="-9.9948118533890809E-2"/>
        </patternFill>
      </fill>
    </dxf>
    <dxf>
      <fill>
        <patternFill patternType="gray0625">
          <bgColor theme="2" tint="-9.9887081514938816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ill>
        <patternFill>
          <bgColor theme="1" tint="0.499984740745262"/>
        </patternFill>
      </fill>
    </dxf>
    <dxf>
      <fill>
        <patternFill>
          <bgColor rgb="FF92D050"/>
        </patternFill>
      </fill>
    </dxf>
    <dxf>
      <font>
        <color auto="1"/>
      </font>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24994659260841701"/>
        </patternFill>
      </fill>
    </dxf>
    <dxf>
      <fill>
        <patternFill>
          <bgColor rgb="FFFF0000"/>
        </patternFill>
      </fill>
    </dxf>
    <dxf>
      <fill>
        <patternFill>
          <bgColor theme="2" tint="-0.24994659260841701"/>
        </patternFill>
      </fill>
    </dxf>
    <dxf>
      <font>
        <color auto="1"/>
      </font>
      <fill>
        <patternFill>
          <bgColor rgb="FF00B0F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ill>
        <patternFill>
          <bgColor theme="1" tint="0.49998474074526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V$2"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0</xdr:colOff>
      <xdr:row>33</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582400" cy="6286500"/>
        </a:xfrm>
        <a:prstGeom prst="rect">
          <a:avLst/>
        </a:prstGeom>
      </xdr:spPr>
    </xdr:pic>
    <xdr:clientData/>
  </xdr:twoCellAnchor>
  <xdr:twoCellAnchor>
    <xdr:from>
      <xdr:col>6</xdr:col>
      <xdr:colOff>85725</xdr:colOff>
      <xdr:row>11</xdr:row>
      <xdr:rowOff>142875</xdr:rowOff>
    </xdr:from>
    <xdr:to>
      <xdr:col>10</xdr:col>
      <xdr:colOff>114300</xdr:colOff>
      <xdr:row>15</xdr:row>
      <xdr:rowOff>133350</xdr:rowOff>
    </xdr:to>
    <xdr:sp macro="[0]!IN_PUT" textlink="">
      <xdr:nvSpPr>
        <xdr:cNvPr id="5" name="Rounded Rectangle 10">
          <a:extLst>
            <a:ext uri="{FF2B5EF4-FFF2-40B4-BE49-F238E27FC236}">
              <a16:creationId xmlns:a16="http://schemas.microsoft.com/office/drawing/2014/main" id="{00000000-0008-0000-0000-000005000000}"/>
            </a:ext>
          </a:extLst>
        </xdr:cNvPr>
        <xdr:cNvSpPr/>
      </xdr:nvSpPr>
      <xdr:spPr>
        <a:xfrm>
          <a:off x="3743325" y="2238375"/>
          <a:ext cx="2466975" cy="752475"/>
        </a:xfrm>
        <a:prstGeom prst="roundRect">
          <a:avLst>
            <a:gd name="adj" fmla="val 50000"/>
          </a:avLst>
        </a:prstGeom>
        <a:gradFill>
          <a:gsLst>
            <a:gs pos="0">
              <a:schemeClr val="bg1">
                <a:lumMod val="50000"/>
              </a:schemeClr>
            </a:gs>
            <a:gs pos="80000">
              <a:schemeClr val="dk1">
                <a:shade val="93000"/>
                <a:satMod val="130000"/>
              </a:schemeClr>
            </a:gs>
            <a:gs pos="100000">
              <a:schemeClr val="dk1">
                <a:shade val="94000"/>
                <a:satMod val="135000"/>
              </a:schemeClr>
            </a:gs>
          </a:gsLst>
        </a:gra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200" b="1"/>
            <a:t>IN PUT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xdr:col>
      <xdr:colOff>1055628</xdr:colOff>
      <xdr:row>3</xdr:row>
      <xdr:rowOff>103642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488562" cy="690563"/>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152400</xdr:colOff>
          <xdr:row>4</xdr:row>
          <xdr:rowOff>0</xdr:rowOff>
        </xdr:from>
        <xdr:to>
          <xdr:col>20</xdr:col>
          <xdr:colOff>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Xuất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180975</xdr:rowOff>
        </xdr:from>
        <xdr:to>
          <xdr:col>20</xdr:col>
          <xdr:colOff>114300</xdr:colOff>
          <xdr:row>11</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6630650" y="1473200"/>
              <a:ext cx="1371600" cy="1012825"/>
              <a:chOff x="16630650" y="1476374"/>
              <a:chExt cx="1371600" cy="1009649"/>
            </a:xfrm>
          </xdr:grpSpPr>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6630650" y="1476374"/>
                <a:ext cx="13144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CEO</a:t>
                </a:r>
              </a:p>
            </xdr:txBody>
          </xdr:sp>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16630650" y="1752600"/>
                <a:ext cx="1304925" cy="18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GĐNS</a:t>
                </a:r>
              </a:p>
            </xdr:txBody>
          </xdr:sp>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16630650" y="2019300"/>
                <a:ext cx="1238250"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KHCN</a:t>
                </a:r>
              </a:p>
            </xdr:txBody>
          </xdr:sp>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16640175" y="2247898"/>
                <a:ext cx="1362075"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SME</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Desktop\DATABASE.xlsm" TargetMode="External"/><Relationship Id="rId1" Type="http://schemas.openxmlformats.org/officeDocument/2006/relationships/externalLinkPath" Target="/Users/AD/Desktop/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HRRF02"/>
      <sheetName val="GET INFO"/>
      <sheetName val="DXTD"/>
      <sheetName val="BC"/>
      <sheetName val="DXPV"/>
      <sheetName val="DM"/>
      <sheetName val="LOAI BANG CAP"/>
      <sheetName val="TRUONG"/>
      <sheetName val="CHUYEN NGANH"/>
      <sheetName val="Option"/>
      <sheetName val="Sheet1"/>
      <sheetName val="Status"/>
      <sheetName val="Get DATA"/>
      <sheetName val="KN"/>
      <sheetName val="DS"/>
      <sheetName val="DATA DSPV"/>
      <sheetName val="DSPV"/>
      <sheetName val="CD"/>
      <sheetName val="CN"/>
      <sheetName val="DVTT1"/>
      <sheetName val="DVTT2"/>
      <sheetName val="DVTT3"/>
      <sheetName val="Main"/>
      <sheetName val="KQPV"/>
    </sheetNames>
    <sheetDataSet>
      <sheetData sheetId="0"/>
      <sheetData sheetId="1"/>
      <sheetData sheetId="2"/>
      <sheetData sheetId="3">
        <row r="1">
          <cell r="A1" t="str">
            <v>CN+CD</v>
          </cell>
          <cell r="B1" t="str">
            <v>CN+DV1+CD</v>
          </cell>
          <cell r="C1" t="str">
            <v>Mã đề xuất</v>
          </cell>
        </row>
        <row r="2">
          <cell r="A2" t="str">
            <v>CN. Bắc GiangRM tập sự SME</v>
          </cell>
          <cell r="B2" t="str">
            <v>CN. Bắc GiangPhòng Khách hàng Doanh nghiệpRM tập sự SME</v>
          </cell>
          <cell r="C2">
            <v>3565</v>
          </cell>
        </row>
        <row r="3">
          <cell r="A3" t="str">
            <v>CN. Bắc GiangRM tập sự KHCN</v>
          </cell>
          <cell r="B3" t="str">
            <v>CN. Bắc GiangPhòng Khách hàng Cá nhânRM tập sự KHCN</v>
          </cell>
          <cell r="C3">
            <v>3564</v>
          </cell>
        </row>
        <row r="4">
          <cell r="A4" t="str">
            <v>CN. Bắc GiangChuyên viên Khách hàng Cá nhân</v>
          </cell>
          <cell r="B4" t="str">
            <v>CN. Bắc GiangPhòng Khách hàng Cá nhânChuyên viên Khách hàng Cá nhân</v>
          </cell>
          <cell r="C4">
            <v>3563</v>
          </cell>
        </row>
        <row r="5">
          <cell r="A5" t="str">
            <v>CN. Bắc NinhRM tập sự KHCN</v>
          </cell>
          <cell r="B5" t="str">
            <v>CN. Bắc NinhPhòng Khách hàng Cá nhânRM tập sự KHCN</v>
          </cell>
          <cell r="C5">
            <v>3021</v>
          </cell>
        </row>
        <row r="6">
          <cell r="A6" t="str">
            <v>CN. Bắc NinhChuyên viên Tài trợ thương mại</v>
          </cell>
          <cell r="B6" t="str">
            <v>CN. Bắc NinhPhòng Khách hàng Doanh nghiệpChuyên viên Tài trợ thương mại</v>
          </cell>
          <cell r="C6">
            <v>3694</v>
          </cell>
        </row>
        <row r="7">
          <cell r="A7" t="str">
            <v>CN. Bắc NinhRM tập sự SME</v>
          </cell>
          <cell r="B7" t="str">
            <v>CN. Bắc NinhPhòng Khách hàng Doanh nghiệpRM tập sự SME</v>
          </cell>
          <cell r="C7">
            <v>3721</v>
          </cell>
        </row>
        <row r="8">
          <cell r="A8" t="str">
            <v>CN. Điện BiênChuyên viên Khách hàng Cá nhân</v>
          </cell>
          <cell r="B8" t="str">
            <v>CN. Điện BiênPhòng Khách hàng Cá nhânChuyên viên Khách hàng Cá nhân</v>
          </cell>
          <cell r="C8">
            <v>2862</v>
          </cell>
        </row>
        <row r="9">
          <cell r="A9" t="str">
            <v>CN. Lào CaiChuyên viên Khách hàng Cá nhân</v>
          </cell>
          <cell r="B9" t="str">
            <v>CN. Lào CaiPhòng Khách hàng Cá nhânChuyên viên Khách hàng Cá nhân</v>
          </cell>
          <cell r="C9">
            <v>3444</v>
          </cell>
        </row>
        <row r="10">
          <cell r="A10" t="str">
            <v>CN. Lào CaiChuyên viên Khách hàng Cá nhân</v>
          </cell>
          <cell r="B10" t="str">
            <v>CN. Lào CaiPhòng giao dịch SapaChuyên viên Khách hàng Cá nhân</v>
          </cell>
          <cell r="C10">
            <v>3442</v>
          </cell>
        </row>
        <row r="11">
          <cell r="A11" t="str">
            <v>CN. Lào CaiChuyên viên Khách hàng Cá nhân</v>
          </cell>
          <cell r="B11" t="str">
            <v>CN. Lào CaiPhòng giao dịch Kim TânChuyên viên Khách hàng Cá nhân</v>
          </cell>
          <cell r="C11">
            <v>3443</v>
          </cell>
        </row>
        <row r="12">
          <cell r="A12" t="str">
            <v>CN. Lào CaiRM tập sự KHCN</v>
          </cell>
          <cell r="B12" t="str">
            <v>CN. Lào CaiPhòng giao dịch Kim TânRM tập sự KHCN</v>
          </cell>
          <cell r="C12">
            <v>2423</v>
          </cell>
        </row>
        <row r="13">
          <cell r="A13" t="str">
            <v>CN. Sơn LaRM tập sự KHCN</v>
          </cell>
          <cell r="B13" t="str">
            <v>CN. Sơn LaPhòng giao dịch Mộc ChâuRM tập sự KHCN</v>
          </cell>
          <cell r="C13">
            <v>2865</v>
          </cell>
        </row>
        <row r="14">
          <cell r="A14" t="str">
            <v>CN. Sơn LaRM tập sự KHCN</v>
          </cell>
          <cell r="B14" t="str">
            <v>CN. Sơn LaPhòng Khách hàng Cá nhânRM tập sự KHCN</v>
          </cell>
          <cell r="C14">
            <v>2864</v>
          </cell>
        </row>
        <row r="15">
          <cell r="A15" t="str">
            <v>CN. Sơn LaRM tập sự SME</v>
          </cell>
          <cell r="B15" t="str">
            <v>CN. Sơn LaPhòng giao dịch Mộc ChâuRM tập sự SME</v>
          </cell>
          <cell r="C15">
            <v>2882</v>
          </cell>
        </row>
        <row r="16">
          <cell r="A16" t="str">
            <v>CN. Từ SơnRM tập sự SME</v>
          </cell>
          <cell r="B16" t="str">
            <v>CN. Từ SơnPhòng Khách hàng Doanh nghiệpRM tập sự SME</v>
          </cell>
          <cell r="C16">
            <v>3568</v>
          </cell>
        </row>
        <row r="17">
          <cell r="A17" t="str">
            <v>CN. Từ SơnRM tập sự KHCN</v>
          </cell>
          <cell r="B17" t="str">
            <v>CN. Từ SơnPhòng Khách hàng Cá nhânRM tập sự KHCN</v>
          </cell>
          <cell r="C17">
            <v>3567</v>
          </cell>
        </row>
        <row r="18">
          <cell r="A18" t="str">
            <v>CN. Từ SơnChuyên viên Khách hàng Doanh nghiệp</v>
          </cell>
          <cell r="B18" t="str">
            <v>CN. Từ SơnPhòng Khách hàng Doanh nghiệpChuyên viên Khách hàng Doanh nghiệp</v>
          </cell>
          <cell r="C18">
            <v>3472</v>
          </cell>
        </row>
        <row r="19">
          <cell r="A19" t="str">
            <v>CN. Từ SơnChuyên viên Khách hàng Cá nhân</v>
          </cell>
          <cell r="B19" t="str">
            <v>CN. Từ SơnPhòng Khách hàng Cá nhânChuyên viên Khách hàng Cá nhân</v>
          </cell>
          <cell r="C19">
            <v>3441</v>
          </cell>
        </row>
        <row r="20">
          <cell r="A20" t="str">
            <v>CN. Vĩnh PhúcChuyên viên Khách hàng Doanh nghiệp</v>
          </cell>
          <cell r="B20" t="str">
            <v>CN. Vĩnh PhúcPhòng giao dịch Phúc YênChuyên viên Khách hàng Doanh nghiệp</v>
          </cell>
          <cell r="C20">
            <v>3475</v>
          </cell>
        </row>
        <row r="21">
          <cell r="A21" t="str">
            <v>CN. Vĩnh PhúcChuyên viên UB</v>
          </cell>
          <cell r="B21" t="str">
            <v>CN. Vĩnh PhúcPhòng giao dịch Yên LạcChuyên viên UB</v>
          </cell>
          <cell r="C21">
            <v>2082</v>
          </cell>
        </row>
        <row r="22">
          <cell r="A22" t="str">
            <v>CN. Vĩnh PhúcRM tập sự SME</v>
          </cell>
          <cell r="B22" t="str">
            <v>CN. Vĩnh PhúcPhòng Khách hàng Doanh nghiệpRM tập sự SME</v>
          </cell>
          <cell r="C22">
            <v>3741</v>
          </cell>
        </row>
        <row r="23">
          <cell r="A23" t="str">
            <v>CN. Yên BáiRM tập sự KHCN</v>
          </cell>
          <cell r="B23" t="str">
            <v>CN. Yên BáiPhòng Khách hàng Cá nhânRM tập sự KHCN</v>
          </cell>
          <cell r="C23">
            <v>3367</v>
          </cell>
        </row>
        <row r="24">
          <cell r="A24" t="str">
            <v>CN. Bắc NinhChuyên viên Khách hàng Cá nhân</v>
          </cell>
          <cell r="B24" t="str">
            <v>CN. Bắc NinhPhòng Khách hàng Cá nhânChuyên viên Khách hàng Cá nhân</v>
          </cell>
          <cell r="C24">
            <v>3762</v>
          </cell>
        </row>
        <row r="25">
          <cell r="A25" t="str">
            <v>CN. Vĩnh PhúcRM tập sự KHCN</v>
          </cell>
          <cell r="B25" t="str">
            <v>CN. Vĩnh PhúcPhòng giao dịch Yên LạcRM tập sự KHCN</v>
          </cell>
          <cell r="C25">
            <v>3744</v>
          </cell>
        </row>
        <row r="26">
          <cell r="A26" t="str">
            <v>CN. Vĩnh PhúcRM tập sự KHCN</v>
          </cell>
          <cell r="B26" t="str">
            <v>CN. Vĩnh PhúcPhòng giao dịch Phúc YênRM tập sự KHCN</v>
          </cell>
          <cell r="C26">
            <v>3743</v>
          </cell>
        </row>
        <row r="27">
          <cell r="A27" t="str">
            <v>CN. Vĩnh PhúcRM tập sự KHCN</v>
          </cell>
          <cell r="B27" t="str">
            <v>CN. Vĩnh PhúcPhòng Khách hàng Cá nhânRM tập sự KHCN</v>
          </cell>
          <cell r="C27">
            <v>3742</v>
          </cell>
        </row>
        <row r="28">
          <cell r="A28" t="str">
            <v>CN. Vĩnh PhúcChuyên viên Khách hàng Cá nhân</v>
          </cell>
          <cell r="B28" t="str">
            <v>CN. Vĩnh PhúcPhòng giao dịch Phúc YênChuyên viên Khách hàng Cá nhân</v>
          </cell>
          <cell r="C28">
            <v>3730</v>
          </cell>
        </row>
        <row r="29">
          <cell r="A29" t="str">
            <v>CN. Bắc NinhChuyên viên UB</v>
          </cell>
          <cell r="B29" t="str">
            <v>CN. Bắc NinhPhòng Khách hàng Cá nhânChuyên viên UB</v>
          </cell>
          <cell r="C29">
            <v>3695</v>
          </cell>
        </row>
        <row r="30">
          <cell r="A30" t="str">
            <v>CN. Vĩnh PhúcRM tập sự SME</v>
          </cell>
          <cell r="B30" t="str">
            <v>CN. Vĩnh PhúcPhòng giao dịch Phúc YênRM tập sự SME</v>
          </cell>
          <cell r="C30">
            <v>3766</v>
          </cell>
        </row>
        <row r="31">
          <cell r="A31" t="str">
            <v>CN. Tuyên QuangChuyên viên Khách hàng Cá nhân</v>
          </cell>
          <cell r="B31" t="str">
            <v>CN. Tuyên QuangPhòng Khách hàng Cá nhânChuyên viên Khách hàng Cá nhân</v>
          </cell>
          <cell r="C31">
            <v>4008</v>
          </cell>
        </row>
        <row r="32">
          <cell r="A32" t="str">
            <v>CN. Tuyên QuangChuyên viên Khách hàng Doanh nghiệp</v>
          </cell>
          <cell r="B32" t="str">
            <v>CN. Tuyên QuangPhòng Khách hàng Doanh nghiệpChuyên viên Khách hàng Doanh nghiệp</v>
          </cell>
          <cell r="C32">
            <v>4009</v>
          </cell>
        </row>
        <row r="33">
          <cell r="A33" t="str">
            <v>CN. Bắc GiangChuyên viên Khách hàng Cá nhân</v>
          </cell>
          <cell r="B33" t="str">
            <v>CN. Bắc GiangPhòng giao dịch Lục NamChuyên viên Khách hàng Cá nhân</v>
          </cell>
          <cell r="C33">
            <v>4224</v>
          </cell>
        </row>
        <row r="34">
          <cell r="A34" t="str">
            <v>CN. Tuyên QuangRM tập sự SME</v>
          </cell>
          <cell r="B34" t="str">
            <v>CN. Tuyên QuangPhòng Khách hàng Doanh nghiệpRM tập sự SME</v>
          </cell>
          <cell r="C34">
            <v>4527</v>
          </cell>
        </row>
        <row r="35">
          <cell r="A35" t="str">
            <v>CN. Hưng YênChuyên viên Tài trợ thương mại</v>
          </cell>
          <cell r="B35" t="str">
            <v>CN. Hưng YênPhòng Khách hàng Doanh nghiệpChuyên viên Tài trợ thương mại</v>
          </cell>
          <cell r="C35">
            <v>4181</v>
          </cell>
        </row>
        <row r="36">
          <cell r="A36" t="str">
            <v>CN. Hưng YênChuyên viên Khách hàng Doanh nghiệp</v>
          </cell>
          <cell r="B36" t="str">
            <v>CN. Hưng YênPhòng giao dịch Châu GiangChuyên viên Khách hàng Doanh nghiệp</v>
          </cell>
          <cell r="C36">
            <v>4148</v>
          </cell>
        </row>
        <row r="37">
          <cell r="A37" t="str">
            <v>CN. Tuyên QuangRM tập sự KHCN</v>
          </cell>
          <cell r="B37" t="str">
            <v>CN. Tuyên QuangPhòng Khách hàng Cá nhânRM tập sự KHCN</v>
          </cell>
          <cell r="C37">
            <v>4525</v>
          </cell>
        </row>
        <row r="38">
          <cell r="A38" t="str">
            <v>CN. Lào CaiChuyên viên UB</v>
          </cell>
          <cell r="B38" t="str">
            <v>CN. Lào CaiPhòng Khách hàng Cá nhânChuyên viên UB</v>
          </cell>
          <cell r="C38">
            <v>4445</v>
          </cell>
        </row>
        <row r="39">
          <cell r="A39" t="str">
            <v>CN. Lào CaiChuyên viên Khách hàng Doanh nghiệp</v>
          </cell>
          <cell r="B39" t="str">
            <v>CN. Lào CaiPhòng Khách hàng Doanh nghiệpChuyên viên Khách hàng Doanh nghiệp</v>
          </cell>
          <cell r="C39">
            <v>4444</v>
          </cell>
        </row>
        <row r="40">
          <cell r="A40" t="str">
            <v>CN. Bắc NinhRM tập sự SME</v>
          </cell>
          <cell r="B40" t="str">
            <v>CN. Bắc NinhPhòng Khách hàng Doanh nghiệpRM tập sự SME</v>
          </cell>
          <cell r="C40">
            <v>4761</v>
          </cell>
        </row>
        <row r="41">
          <cell r="A41" t="str">
            <v>CN. Thái NguyênChuyên viên Khách hàng Doanh nghiệp</v>
          </cell>
          <cell r="B41" t="str">
            <v>CN. Thái NguyênPhòng Khách hàng Doanh nghiệpChuyên viên Khách hàng Doanh nghiệp</v>
          </cell>
          <cell r="C41">
            <v>4748</v>
          </cell>
        </row>
        <row r="42">
          <cell r="A42" t="str">
            <v>CN. Bắc NinhGiám đốc Quan hệ khách hàng (SME)</v>
          </cell>
          <cell r="B42" t="str">
            <v>CN. Bắc NinhPhòng Khách hàng Doanh nghiệpGiám đốc Quan hệ khách hàng (SME)</v>
          </cell>
          <cell r="C42">
            <v>4581</v>
          </cell>
        </row>
        <row r="43">
          <cell r="A43" t="str">
            <v>CN. Việt TrìChuyên viên Khách hàng Cá nhân</v>
          </cell>
          <cell r="B43" t="str">
            <v>CN. Việt TrìPhòng giao dịch Nam Việt TrìChuyên viên Khách hàng Cá nhân</v>
          </cell>
          <cell r="C43">
            <v>4642</v>
          </cell>
        </row>
        <row r="44">
          <cell r="A44" t="str">
            <v>CN. Thái NguyênChuyên viên Khách hàng Doanh nghiệp</v>
          </cell>
          <cell r="B44" t="str">
            <v>CN. Thái NguyênPhòng Khách hàng Doanh nghiệpChuyên viên Khách hàng Doanh nghiệp</v>
          </cell>
          <cell r="C44">
            <v>4779</v>
          </cell>
        </row>
        <row r="45">
          <cell r="A45" t="str">
            <v>CN. Vĩnh PhúcChuyên viên Khách hàng Doanh nghiệp</v>
          </cell>
          <cell r="B45" t="str">
            <v>CN. Vĩnh PhúcPhòng Khách hàng Doanh nghiệpChuyên viên Khách hàng Doanh nghiệp</v>
          </cell>
          <cell r="C45">
            <v>4989</v>
          </cell>
        </row>
        <row r="46">
          <cell r="A46" t="str">
            <v>CN. Hưng YênChuyên viên Khách hàng Cá nhân</v>
          </cell>
          <cell r="B46" t="str">
            <v>CN. Hưng YênPhòng Khách hàng Cá nhânChuyên viên Khách hàng Cá nhân</v>
          </cell>
          <cell r="C46">
            <v>4964</v>
          </cell>
        </row>
        <row r="47">
          <cell r="A47" t="str">
            <v>CN. Thái NguyênChuyên viên Khách hàng Cá nhân</v>
          </cell>
          <cell r="B47" t="str">
            <v>CN. Thái NguyênPhòng Khách hàng Cá nhânChuyên viên Khách hàng Cá nhân</v>
          </cell>
          <cell r="C47">
            <v>4888</v>
          </cell>
        </row>
        <row r="48">
          <cell r="A48" t="str">
            <v>CN. Thái NguyênChuyên viên Khách hàng Cá nhân</v>
          </cell>
          <cell r="B48" t="str">
            <v>CN. Thái NguyênPhòng Khách hàng Cá nhânChuyên viên Khách hàng Cá nhân</v>
          </cell>
          <cell r="C48">
            <v>4961</v>
          </cell>
        </row>
        <row r="49">
          <cell r="A49" t="str">
            <v>CN. Bắc GiangChuyên viên UB</v>
          </cell>
          <cell r="B49" t="str">
            <v>CN. Bắc GiangPhòng giao dịch Lục NamChuyên viên UB</v>
          </cell>
          <cell r="C49">
            <v>4837</v>
          </cell>
        </row>
        <row r="50">
          <cell r="A50" t="str">
            <v>CN. Hải DươngChuyên viên Khách hàng Cá nhân</v>
          </cell>
          <cell r="B50" t="str">
            <v>CN. Hải DươngPhòng giao dịch Kinh MônChuyên viên Khách hàng Cá nhân</v>
          </cell>
          <cell r="C50">
            <v>5072</v>
          </cell>
        </row>
        <row r="51">
          <cell r="A51" t="str">
            <v>CN. Vĩnh PhúcChuyên viên Khách hàng Cá nhân</v>
          </cell>
          <cell r="B51" t="str">
            <v>CN. Vĩnh PhúcPhòng Khách hàng Cá nhânChuyên viên Khách hàng Cá nhân</v>
          </cell>
          <cell r="C51">
            <v>5062</v>
          </cell>
        </row>
        <row r="52">
          <cell r="A52" t="str">
            <v>CN. Hưng YênChuyên viên UB</v>
          </cell>
          <cell r="B52" t="str">
            <v>CN. Hưng YênPhòng Khách hàng Cá nhânChuyên viên UB</v>
          </cell>
          <cell r="C52">
            <v>5068</v>
          </cell>
        </row>
        <row r="53">
          <cell r="A53" t="str">
            <v>CN. Việt TrìChuyên viên Khách hàng Doanh nghiệp</v>
          </cell>
          <cell r="B53" t="str">
            <v>CN. Việt TrìPhòng Khách hàng Doanh nghiệpChuyên viên Khách hàng Doanh nghiệp</v>
          </cell>
          <cell r="C53">
            <v>5069</v>
          </cell>
        </row>
        <row r="54">
          <cell r="A54" t="str">
            <v>CN. Yên BáiRM tập sự SME</v>
          </cell>
          <cell r="B54" t="str">
            <v>CN. Yên BáiPhòng Khách hàng Doanh nghiệpRM tập sự SME</v>
          </cell>
          <cell r="C54">
            <v>5227</v>
          </cell>
        </row>
        <row r="55">
          <cell r="A55" t="str">
            <v>CN. Yên BáiChuyên viên Khách hàng Cá nhân</v>
          </cell>
          <cell r="B55" t="str">
            <v>CN. Yên BáiPhòng Khách hàng Cá nhânChuyên viên Khách hàng Cá nhân</v>
          </cell>
          <cell r="C55">
            <v>5226</v>
          </cell>
        </row>
        <row r="56">
          <cell r="A56" t="str">
            <v>CN. Hải DươngChuyên viên Khách hàng Cá nhân</v>
          </cell>
          <cell r="B56" t="str">
            <v>CN. Hải DươngPhòng Khách hàng Cá nhânChuyên viên Khách hàng Cá nhân</v>
          </cell>
          <cell r="C56">
            <v>5225</v>
          </cell>
        </row>
        <row r="57">
          <cell r="A57" t="str">
            <v>CN. Hải DươngChuyên viên Khách hàng Cá nhân</v>
          </cell>
          <cell r="B57" t="str">
            <v>CN. Hải DươngPhòng giao dịch Kinh MônChuyên viên Khách hàng Cá nhân</v>
          </cell>
          <cell r="C57">
            <v>5308</v>
          </cell>
        </row>
        <row r="58">
          <cell r="A58" t="str">
            <v>CN. Bắc NinhChuyên viên Khách hàng Doanh nghiệp</v>
          </cell>
          <cell r="B58" t="str">
            <v>CN. Bắc NinhPhòng Khách hàng Doanh nghiệpChuyên viên Khách hàng Doanh nghiệp</v>
          </cell>
          <cell r="C58">
            <v>5326</v>
          </cell>
        </row>
        <row r="59">
          <cell r="A59" t="str">
            <v>CN. Hải DươngChuyên viên Khách hàng Doanh nghiệp</v>
          </cell>
          <cell r="B59" t="str">
            <v>CN. Hải DươngPhòng giao dịch Chí LinhChuyên viên Khách hàng Doanh nghiệp</v>
          </cell>
          <cell r="C59">
            <v>5310</v>
          </cell>
        </row>
        <row r="60">
          <cell r="A60" t="str">
            <v>CN. Tuyên QuangRM tập sự SME</v>
          </cell>
          <cell r="B60" t="str">
            <v>CN. Tuyên QuangPhòng Khách hàng Doanh nghiệpRM tập sự SME</v>
          </cell>
          <cell r="C60">
            <v>5273</v>
          </cell>
        </row>
        <row r="61">
          <cell r="A61" t="str">
            <v>CN. Tuyên QuangRM Tập sự UB</v>
          </cell>
          <cell r="B61" t="str">
            <v>CN. Tuyên QuangPhòng Khách hàng Cá nhânRM Tập sự UB</v>
          </cell>
          <cell r="C61">
            <v>5260</v>
          </cell>
        </row>
        <row r="62">
          <cell r="A62" t="str">
            <v>CN. Bắc NinhRM Tập sự UB</v>
          </cell>
          <cell r="B62" t="str">
            <v>CN. Bắc NinhPhòng Khách hàng Cá nhânRM Tập sự UB</v>
          </cell>
          <cell r="C62">
            <v>5270</v>
          </cell>
        </row>
        <row r="63">
          <cell r="A63" t="str">
            <v>CN. Hải DươngRM tập sự KHCN</v>
          </cell>
          <cell r="B63" t="str">
            <v>CN. Hải DươngPhòng Khách hàng Cá nhânRM tập sự KHCN</v>
          </cell>
          <cell r="C63">
            <v>5332</v>
          </cell>
        </row>
        <row r="64">
          <cell r="A64" t="str">
            <v>CN. Bắc NinhChuyên viên Khách hàng Cá nhân</v>
          </cell>
          <cell r="B64" t="str">
            <v>CN. Bắc NinhPhòng giao dịch Yên PhongChuyên viên Khách hàng Cá nhân</v>
          </cell>
          <cell r="C64">
            <v>5444</v>
          </cell>
        </row>
        <row r="65">
          <cell r="A65" t="str">
            <v>CN. Bắc NinhRM Tập sự UB</v>
          </cell>
          <cell r="B65" t="str">
            <v>CN. Bắc NinhPhòng Khách hàng Cá nhânRM Tập sự UB</v>
          </cell>
          <cell r="C65">
            <v>5481</v>
          </cell>
        </row>
        <row r="66">
          <cell r="A66" t="str">
            <v>CN. Việt TrìRM tập sự SME</v>
          </cell>
          <cell r="B66" t="str">
            <v>CN. Việt TrìPhòng Khách hàng Doanh nghiệpRM tập sự SME</v>
          </cell>
          <cell r="C66">
            <v>5453</v>
          </cell>
        </row>
        <row r="67">
          <cell r="A67" t="str">
            <v>CN. Điện BiênRM tập sự SME</v>
          </cell>
          <cell r="B67" t="str">
            <v>CN. Điện BiênPhòng Khách hàng Doanh nghiệpRM tập sự SME</v>
          </cell>
          <cell r="C67">
            <v>5445</v>
          </cell>
        </row>
        <row r="68">
          <cell r="A68" t="str">
            <v>CN. Hưng YênChuyên viên Khách hàng Cá nhân</v>
          </cell>
          <cell r="B68" t="str">
            <v>CN. Hưng YênPhòng Khách hàng Cá nhânChuyên viên Khách hàng Cá nhân</v>
          </cell>
          <cell r="C68">
            <v>5847</v>
          </cell>
        </row>
        <row r="69">
          <cell r="A69" t="str">
            <v>CN. Việt TrìChuyên viên Khách hàng Cá nhân</v>
          </cell>
          <cell r="B69" t="str">
            <v>CN. Việt TrìPhòng Khách hàng Cá nhânChuyên viên Khách hàng Cá nhân</v>
          </cell>
          <cell r="C69">
            <v>5607</v>
          </cell>
        </row>
        <row r="70">
          <cell r="A70" t="str">
            <v>CN. Việt TrìRM tập sự KHCN</v>
          </cell>
          <cell r="B70" t="str">
            <v>CN. Việt TrìPhòng giao dịch Lâm ThaoRM tập sự KHCN</v>
          </cell>
          <cell r="C70">
            <v>5608</v>
          </cell>
        </row>
        <row r="71">
          <cell r="A71" t="str">
            <v>CN. Hưng YênChuyên viên Khách hàng Cá nhân</v>
          </cell>
          <cell r="B71" t="str">
            <v>CN. Hưng YênPhòng Khách hàng Cá nhânChuyên viên Khách hàng Cá nhân</v>
          </cell>
          <cell r="C71">
            <v>5609</v>
          </cell>
        </row>
        <row r="72">
          <cell r="A72" t="str">
            <v>CN. Bắc GiangChuyên viên Khách hàng Cá nhân</v>
          </cell>
          <cell r="B72" t="str">
            <v>CN. Bắc GiangPhòng Khách hàng Cá nhânChuyên viên Khách hàng Cá nhân</v>
          </cell>
          <cell r="C72">
            <v>5579</v>
          </cell>
        </row>
        <row r="73">
          <cell r="A73" t="str">
            <v>CN. Hưng YênChuyên viên Khách hàng Doanh nghiệp</v>
          </cell>
          <cell r="B73" t="str">
            <v>CN. Hưng YênPhòng Khách hàng Doanh nghiệpChuyên viên Khách hàng Doanh nghiệp</v>
          </cell>
          <cell r="C73">
            <v>5943</v>
          </cell>
        </row>
        <row r="74">
          <cell r="A74" t="str">
            <v>CN. Lạng SơnChuyên viên Khách hàng Cá nhân</v>
          </cell>
          <cell r="B74" t="str">
            <v>CN. Lạng SơnPhòng Khách hàng Cá nhânChuyên viên Khách hàng Cá nhân</v>
          </cell>
          <cell r="C74">
            <v>6069</v>
          </cell>
        </row>
        <row r="75">
          <cell r="A75" t="str">
            <v>CN. Điện BiênChuyên viên UB</v>
          </cell>
          <cell r="B75" t="str">
            <v>CN. Điện BiênPhòng Khách hàng Cá nhânChuyên viên UB</v>
          </cell>
          <cell r="C75">
            <v>6253</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33"/>
  <sheetViews>
    <sheetView workbookViewId="0"/>
  </sheetViews>
  <sheetFormatPr defaultColWidth="0" defaultRowHeight="14.5" zeroHeight="1" x14ac:dyDescent="0.35"/>
  <cols>
    <col min="1" max="19" width="9.08984375" customWidth="1"/>
    <col min="20" max="16384" width="9.0898437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0ADC-A364-45E1-85AC-E7542ECE7C0D}">
  <sheetPr codeName="Sheet3"/>
  <dimension ref="A1:BZ4"/>
  <sheetViews>
    <sheetView workbookViewId="0">
      <selection activeCell="A2" sqref="A2:XFD2"/>
    </sheetView>
  </sheetViews>
  <sheetFormatPr defaultRowHeight="14.5" x14ac:dyDescent="0.35"/>
  <cols>
    <col min="1" max="1" width="10.81640625" customWidth="1"/>
    <col min="2" max="2" width="8.90625" customWidth="1"/>
  </cols>
  <sheetData>
    <row r="1" spans="1:78" s="81" customFormat="1" ht="66" customHeight="1" x14ac:dyDescent="0.35">
      <c r="A1" s="68" t="s">
        <v>28</v>
      </c>
      <c r="B1" s="69" t="s">
        <v>29</v>
      </c>
      <c r="C1" s="70" t="s">
        <v>30</v>
      </c>
      <c r="D1" s="71" t="s">
        <v>31</v>
      </c>
      <c r="E1" s="69" t="s">
        <v>32</v>
      </c>
      <c r="F1" s="69" t="s">
        <v>33</v>
      </c>
      <c r="G1" s="69" t="s">
        <v>34</v>
      </c>
      <c r="H1" s="69" t="s">
        <v>35</v>
      </c>
      <c r="I1" s="69" t="s">
        <v>36</v>
      </c>
      <c r="J1" s="69" t="s">
        <v>37</v>
      </c>
      <c r="K1" s="69" t="s">
        <v>38</v>
      </c>
      <c r="L1" s="69" t="s">
        <v>39</v>
      </c>
      <c r="M1" s="69" t="s">
        <v>40</v>
      </c>
      <c r="N1" s="69" t="s">
        <v>41</v>
      </c>
      <c r="O1" s="71" t="s">
        <v>42</v>
      </c>
      <c r="P1" s="69" t="s">
        <v>43</v>
      </c>
      <c r="Q1" s="69" t="s">
        <v>44</v>
      </c>
      <c r="R1" s="69" t="s">
        <v>45</v>
      </c>
      <c r="S1" s="69" t="s">
        <v>46</v>
      </c>
      <c r="T1" s="69" t="s">
        <v>47</v>
      </c>
      <c r="U1" s="69" t="s">
        <v>48</v>
      </c>
      <c r="V1" s="69" t="s">
        <v>49</v>
      </c>
      <c r="W1" s="69" t="s">
        <v>50</v>
      </c>
      <c r="X1" s="69" t="s">
        <v>48</v>
      </c>
      <c r="Y1" s="69" t="s">
        <v>49</v>
      </c>
      <c r="Z1" s="72" t="s">
        <v>51</v>
      </c>
      <c r="AA1" s="72" t="s">
        <v>52</v>
      </c>
      <c r="AB1" s="71" t="s">
        <v>91</v>
      </c>
      <c r="AC1" s="73" t="s">
        <v>53</v>
      </c>
      <c r="AD1" s="72" t="s">
        <v>54</v>
      </c>
      <c r="AE1" s="72" t="s">
        <v>89</v>
      </c>
      <c r="AF1" s="74" t="s">
        <v>92</v>
      </c>
      <c r="AG1" s="74" t="s">
        <v>93</v>
      </c>
      <c r="AH1" s="74" t="s">
        <v>94</v>
      </c>
      <c r="AI1" s="68" t="s">
        <v>55</v>
      </c>
      <c r="AJ1" s="72" t="s">
        <v>56</v>
      </c>
      <c r="AK1" s="75" t="s">
        <v>57</v>
      </c>
      <c r="AL1" s="72" t="s">
        <v>58</v>
      </c>
      <c r="AM1" s="72" t="s">
        <v>59</v>
      </c>
      <c r="AN1" s="72" t="s">
        <v>60</v>
      </c>
      <c r="AO1" s="72" t="s">
        <v>61</v>
      </c>
      <c r="AP1" s="72" t="s">
        <v>62</v>
      </c>
      <c r="AQ1" s="72" t="s">
        <v>63</v>
      </c>
      <c r="AR1" s="72" t="s">
        <v>64</v>
      </c>
      <c r="AS1" s="72" t="s">
        <v>65</v>
      </c>
      <c r="AT1" s="72" t="s">
        <v>66</v>
      </c>
      <c r="AU1" s="72" t="s">
        <v>67</v>
      </c>
      <c r="AV1" s="72" t="s">
        <v>68</v>
      </c>
      <c r="AW1" s="72" t="s">
        <v>95</v>
      </c>
      <c r="AX1" s="72" t="s">
        <v>69</v>
      </c>
      <c r="AY1" s="69" t="s">
        <v>90</v>
      </c>
      <c r="AZ1" s="71" t="s">
        <v>96</v>
      </c>
      <c r="BA1" s="76" t="s">
        <v>70</v>
      </c>
      <c r="BB1" s="76" t="s">
        <v>71</v>
      </c>
      <c r="BC1" s="76" t="s">
        <v>72</v>
      </c>
      <c r="BD1" s="76" t="s">
        <v>73</v>
      </c>
      <c r="BE1" s="76" t="s">
        <v>74</v>
      </c>
      <c r="BF1" s="77" t="s">
        <v>75</v>
      </c>
      <c r="BG1" s="78" t="s">
        <v>76</v>
      </c>
      <c r="BH1" s="78" t="s">
        <v>77</v>
      </c>
      <c r="BI1" s="78" t="s">
        <v>78</v>
      </c>
      <c r="BJ1" s="79" t="s">
        <v>79</v>
      </c>
      <c r="BK1" s="78" t="s">
        <v>97</v>
      </c>
      <c r="BL1" s="78" t="s">
        <v>98</v>
      </c>
      <c r="BM1" s="78" t="s">
        <v>80</v>
      </c>
      <c r="BN1" s="78" t="s">
        <v>81</v>
      </c>
      <c r="BO1" s="78" t="s">
        <v>82</v>
      </c>
      <c r="BP1" s="78" t="s">
        <v>83</v>
      </c>
      <c r="BQ1" s="80" t="s">
        <v>99</v>
      </c>
      <c r="BR1" s="76" t="s">
        <v>100</v>
      </c>
      <c r="BS1" s="76" t="s">
        <v>84</v>
      </c>
      <c r="BT1" s="80" t="s">
        <v>85</v>
      </c>
      <c r="BU1" s="76" t="s">
        <v>101</v>
      </c>
      <c r="BV1" s="76" t="s">
        <v>86</v>
      </c>
      <c r="BW1" s="76" t="s">
        <v>87</v>
      </c>
      <c r="BX1" s="76" t="s">
        <v>102</v>
      </c>
      <c r="BY1" s="76" t="s">
        <v>88</v>
      </c>
      <c r="BZ1" s="80" t="s">
        <v>90</v>
      </c>
    </row>
    <row r="2" spans="1:78" s="67" customFormat="1" x14ac:dyDescent="0.35">
      <c r="A2" s="54" t="s">
        <v>103</v>
      </c>
      <c r="B2" s="55" t="s">
        <v>104</v>
      </c>
      <c r="C2" s="56" t="s">
        <v>105</v>
      </c>
      <c r="D2" s="57" t="s">
        <v>106</v>
      </c>
      <c r="E2" s="56" t="s">
        <v>107</v>
      </c>
      <c r="F2" s="56" t="s">
        <v>108</v>
      </c>
      <c r="G2" s="56" t="s">
        <v>109</v>
      </c>
      <c r="H2" s="56" t="s">
        <v>110</v>
      </c>
      <c r="I2" s="56">
        <v>2023</v>
      </c>
      <c r="J2" s="56" t="s">
        <v>111</v>
      </c>
      <c r="K2" s="56" t="s">
        <v>112</v>
      </c>
      <c r="L2" s="56" t="s">
        <v>113</v>
      </c>
      <c r="M2" s="56" t="s">
        <v>114</v>
      </c>
      <c r="N2" s="56" t="s">
        <v>115</v>
      </c>
      <c r="O2" s="58" t="s">
        <v>116</v>
      </c>
      <c r="P2" s="56" t="s">
        <v>117</v>
      </c>
      <c r="Q2" s="56" t="s">
        <v>118</v>
      </c>
      <c r="R2" s="56" t="s">
        <v>119</v>
      </c>
      <c r="S2" s="56" t="s">
        <v>120</v>
      </c>
      <c r="T2" s="56" t="s">
        <v>121</v>
      </c>
      <c r="U2" s="56" t="s">
        <v>122</v>
      </c>
      <c r="V2" s="56" t="s">
        <v>115</v>
      </c>
      <c r="W2" s="56" t="s">
        <v>121</v>
      </c>
      <c r="X2" s="56" t="s">
        <v>122</v>
      </c>
      <c r="Y2" s="56" t="s">
        <v>115</v>
      </c>
      <c r="Z2" s="59" t="s">
        <v>123</v>
      </c>
      <c r="AA2" s="59" t="s">
        <v>124</v>
      </c>
      <c r="AB2" s="60">
        <v>45365</v>
      </c>
      <c r="AC2" s="61" t="s">
        <v>125</v>
      </c>
      <c r="AD2" s="62" t="s">
        <v>126</v>
      </c>
      <c r="AE2" s="59" t="str">
        <f>IFERROR(IF(AR2="",VLOOKUP(AA2&amp;AI2,[1]DXTD!A:C,3,0),VLOOKUP(AR2&amp;AS2&amp;AP2,[1]DXTD!B:C,2,0)),"")</f>
        <v/>
      </c>
      <c r="AF2" s="59"/>
      <c r="AG2" s="59"/>
      <c r="AH2" s="59"/>
      <c r="AI2" s="63" t="s">
        <v>127</v>
      </c>
      <c r="AJ2" s="59" t="s">
        <v>128</v>
      </c>
      <c r="AK2" s="64">
        <v>45133</v>
      </c>
      <c r="AL2" s="62" t="s">
        <v>129</v>
      </c>
      <c r="AM2" s="65">
        <v>6.2</v>
      </c>
      <c r="AN2" s="59" t="s">
        <v>130</v>
      </c>
      <c r="AO2" s="59" t="s">
        <v>131</v>
      </c>
      <c r="AP2" s="59" t="s">
        <v>132</v>
      </c>
      <c r="AQ2" s="59" t="s">
        <v>133</v>
      </c>
      <c r="AR2" s="59" t="s">
        <v>124</v>
      </c>
      <c r="AS2" s="59" t="s">
        <v>134</v>
      </c>
      <c r="AT2" s="59"/>
      <c r="AU2" s="59"/>
      <c r="AV2" s="66"/>
      <c r="AW2" s="59">
        <v>6.6666666666666696</v>
      </c>
      <c r="AX2" s="59"/>
      <c r="AY2" s="59"/>
      <c r="AZ2" s="59"/>
      <c r="BA2" s="44">
        <v>1229057</v>
      </c>
      <c r="BB2" s="45">
        <v>45141</v>
      </c>
      <c r="BC2" s="45">
        <v>45145</v>
      </c>
      <c r="BD2" s="46"/>
      <c r="BE2" s="46"/>
      <c r="BF2" s="53"/>
      <c r="BG2" s="44"/>
      <c r="BH2" s="44"/>
      <c r="BI2" s="44"/>
      <c r="BJ2" s="48"/>
      <c r="BK2" s="45"/>
      <c r="BL2" s="45"/>
      <c r="BM2" s="49"/>
      <c r="BN2" s="49"/>
      <c r="BO2" s="49"/>
      <c r="BP2" s="49"/>
      <c r="BQ2" s="49"/>
      <c r="BR2" s="92" t="s">
        <v>135</v>
      </c>
      <c r="BS2" s="92">
        <v>45229</v>
      </c>
      <c r="BT2" s="93"/>
      <c r="BU2" s="92">
        <v>45231</v>
      </c>
      <c r="BV2" s="92">
        <v>45261</v>
      </c>
      <c r="BW2" s="93">
        <v>3048</v>
      </c>
      <c r="BX2" s="94" t="s">
        <v>136</v>
      </c>
      <c r="BY2" s="94" t="s">
        <v>136</v>
      </c>
      <c r="BZ2" s="95"/>
    </row>
    <row r="3" spans="1:78" s="67" customFormat="1" x14ac:dyDescent="0.35">
      <c r="A3" s="54"/>
      <c r="B3" s="55"/>
      <c r="C3" s="56"/>
      <c r="D3" s="57"/>
      <c r="E3" s="56"/>
      <c r="F3" s="56"/>
      <c r="G3" s="56"/>
      <c r="H3" s="56"/>
      <c r="I3" s="56"/>
      <c r="J3" s="56"/>
      <c r="K3" s="56"/>
      <c r="L3" s="56"/>
      <c r="M3" s="56"/>
      <c r="N3" s="56"/>
      <c r="O3" s="83"/>
      <c r="P3" s="56"/>
      <c r="Q3" s="56"/>
      <c r="R3" s="56"/>
      <c r="S3" s="56"/>
      <c r="T3" s="56"/>
      <c r="U3" s="56"/>
      <c r="V3" s="56"/>
      <c r="W3" s="56"/>
      <c r="X3" s="56"/>
      <c r="Y3" s="56"/>
      <c r="Z3" s="59"/>
      <c r="AA3" s="59"/>
      <c r="AB3" s="60"/>
      <c r="AC3" s="61"/>
      <c r="AD3" s="62"/>
      <c r="AE3" s="59"/>
      <c r="AF3" s="51"/>
      <c r="AG3" s="51"/>
      <c r="AH3" s="51"/>
      <c r="AI3" s="63"/>
      <c r="AJ3" s="59"/>
      <c r="AK3" s="64"/>
      <c r="AL3" s="62"/>
      <c r="AM3" s="65"/>
      <c r="AN3" s="59"/>
      <c r="AO3" s="59"/>
      <c r="AP3" s="59"/>
      <c r="AQ3" s="59"/>
      <c r="AR3" s="59"/>
      <c r="AS3" s="59"/>
      <c r="AT3" s="59"/>
      <c r="AU3" s="59"/>
      <c r="AV3" s="66"/>
      <c r="AW3" s="59"/>
      <c r="AX3" s="59"/>
      <c r="AY3" s="56"/>
      <c r="AZ3" s="60"/>
      <c r="BA3" s="44"/>
      <c r="BB3" s="45"/>
      <c r="BC3" s="45"/>
      <c r="BD3" s="46"/>
      <c r="BE3" s="46"/>
      <c r="BF3" s="53"/>
      <c r="BG3" s="47"/>
      <c r="BH3" s="47"/>
      <c r="BI3" s="47"/>
      <c r="BJ3" s="48"/>
      <c r="BK3" s="45"/>
      <c r="BL3" s="45"/>
      <c r="BM3" s="49"/>
      <c r="BN3" s="49"/>
      <c r="BO3" s="49"/>
      <c r="BP3" s="49"/>
      <c r="BQ3" s="43"/>
      <c r="BR3" s="45"/>
      <c r="BS3" s="45"/>
      <c r="BT3" s="43"/>
      <c r="BU3" s="45"/>
      <c r="BV3" s="45"/>
      <c r="BW3" s="49"/>
      <c r="BX3" s="50"/>
      <c r="BY3" s="50"/>
      <c r="BZ3" s="52"/>
    </row>
    <row r="4" spans="1:78" s="67" customFormat="1" x14ac:dyDescent="0.35">
      <c r="A4" s="54"/>
      <c r="B4" s="55"/>
      <c r="C4" s="56"/>
      <c r="D4" s="57"/>
      <c r="E4" s="56"/>
      <c r="F4" s="56"/>
      <c r="G4" s="56"/>
      <c r="H4" s="56"/>
      <c r="I4" s="56"/>
      <c r="J4" s="56"/>
      <c r="K4" s="56"/>
      <c r="L4" s="56"/>
      <c r="M4" s="56"/>
      <c r="N4" s="56"/>
      <c r="O4" s="58"/>
      <c r="P4" s="56"/>
      <c r="Q4" s="56"/>
      <c r="R4" s="56"/>
      <c r="S4" s="56"/>
      <c r="T4" s="56"/>
      <c r="U4" s="56"/>
      <c r="V4" s="56"/>
      <c r="W4" s="56"/>
      <c r="X4" s="56"/>
      <c r="Y4" s="56"/>
      <c r="Z4" s="59"/>
      <c r="AA4" s="59"/>
      <c r="AB4" s="60"/>
      <c r="AC4" s="61"/>
      <c r="AD4" s="62"/>
      <c r="AE4" s="59"/>
      <c r="AF4" s="51"/>
      <c r="AG4" s="51"/>
      <c r="AH4" s="51"/>
      <c r="AI4" s="63"/>
      <c r="AJ4" s="59"/>
      <c r="AK4" s="64"/>
      <c r="AL4" s="62"/>
      <c r="AM4" s="65"/>
      <c r="AN4" s="59"/>
      <c r="AO4" s="59"/>
      <c r="AP4" s="59"/>
      <c r="AQ4" s="59"/>
      <c r="AR4" s="59"/>
      <c r="AS4" s="59"/>
      <c r="AT4" s="59"/>
      <c r="AU4" s="59"/>
      <c r="AV4" s="66"/>
      <c r="AW4" s="59"/>
      <c r="AX4" s="59"/>
      <c r="AY4" s="56"/>
      <c r="AZ4" s="61"/>
      <c r="BA4" s="44"/>
      <c r="BB4" s="45"/>
      <c r="BC4" s="45"/>
      <c r="BD4" s="46"/>
      <c r="BE4" s="46"/>
      <c r="BF4" s="53"/>
      <c r="BG4" s="47"/>
      <c r="BH4" s="47"/>
      <c r="BI4" s="47"/>
      <c r="BJ4" s="48"/>
      <c r="BK4" s="45"/>
      <c r="BL4" s="45"/>
      <c r="BM4" s="49"/>
      <c r="BN4" s="49"/>
      <c r="BO4" s="49"/>
      <c r="BP4" s="49"/>
      <c r="BQ4" s="43"/>
      <c r="BR4" s="45"/>
      <c r="BS4" s="45"/>
      <c r="BT4" s="43"/>
      <c r="BU4" s="45"/>
      <c r="BV4" s="45"/>
      <c r="BW4" s="49"/>
      <c r="BX4" s="50"/>
      <c r="BY4" s="50"/>
      <c r="BZ4" s="52"/>
    </row>
  </sheetData>
  <conditionalFormatting sqref="B1">
    <cfRule type="duplicateValues" dxfId="39" priority="34"/>
    <cfRule type="duplicateValues" dxfId="38" priority="40"/>
  </conditionalFormatting>
  <conditionalFormatting sqref="C1">
    <cfRule type="duplicateValues" dxfId="37" priority="31"/>
    <cfRule type="duplicateValues" dxfId="36" priority="39"/>
  </conditionalFormatting>
  <conditionalFormatting sqref="M1">
    <cfRule type="duplicateValues" dxfId="35" priority="38"/>
  </conditionalFormatting>
  <conditionalFormatting sqref="A1">
    <cfRule type="expression" dxfId="34" priority="35">
      <formula>IF(AA1="Blacklist",TRUE,FALSE)</formula>
    </cfRule>
    <cfRule type="expression" dxfId="33" priority="36">
      <formula>IF(AN1="Không đến",TRUE,FALSE)</formula>
    </cfRule>
    <cfRule type="expression" dxfId="32" priority="37">
      <formula>IF(AN1="Không đạt",TRUE,FALSE)</formula>
    </cfRule>
  </conditionalFormatting>
  <conditionalFormatting sqref="A1">
    <cfRule type="duplicateValues" dxfId="31" priority="32"/>
    <cfRule type="duplicateValues" dxfId="30" priority="33"/>
  </conditionalFormatting>
  <conditionalFormatting sqref="BR1:BS1">
    <cfRule type="expression" dxfId="29" priority="27">
      <formula>IF(#REF!="Pending",TRUE,FALSE)</formula>
    </cfRule>
    <cfRule type="expression" dxfId="28" priority="28">
      <formula>IF(#REF!="Hệ thống",TRUE,FALSE)</formula>
    </cfRule>
    <cfRule type="expression" dxfId="27" priority="29">
      <formula>IF(OR(#REF!="Tạch",#REF!="Không đến"),TRUE,FALSE)</formula>
    </cfRule>
    <cfRule type="expression" dxfId="26" priority="30">
      <formula>IF(#REF!="Blacklist",TRUE,FALSE)</formula>
    </cfRule>
  </conditionalFormatting>
  <conditionalFormatting sqref="B3:B4">
    <cfRule type="duplicateValues" dxfId="25" priority="19"/>
    <cfRule type="duplicateValues" dxfId="24" priority="22"/>
  </conditionalFormatting>
  <conditionalFormatting sqref="C3:C4">
    <cfRule type="duplicateValues" dxfId="23" priority="16"/>
    <cfRule type="duplicateValues" dxfId="22" priority="21"/>
  </conditionalFormatting>
  <conditionalFormatting sqref="M3:M4">
    <cfRule type="duplicateValues" dxfId="21" priority="20"/>
  </conditionalFormatting>
  <conditionalFormatting sqref="A3:A4">
    <cfRule type="duplicateValues" dxfId="20" priority="17"/>
    <cfRule type="duplicateValues" dxfId="19" priority="18"/>
  </conditionalFormatting>
  <conditionalFormatting sqref="BV3:BV4">
    <cfRule type="cellIs" dxfId="18" priority="15" operator="greaterThan">
      <formula>TODAY()</formula>
    </cfRule>
  </conditionalFormatting>
  <conditionalFormatting sqref="A3:A4">
    <cfRule type="expression" dxfId="17" priority="23">
      <formula>IF(#REF!+1=TODAY(),TRUE,FALSE)</formula>
    </cfRule>
    <cfRule type="expression" dxfId="16" priority="24">
      <formula>IF(AA3="Blacklist",TRUE,FALSE)</formula>
    </cfRule>
    <cfRule type="expression" dxfId="15" priority="25">
      <formula>IF(AN3="Không đến",TRUE,FALSE)</formula>
    </cfRule>
    <cfRule type="expression" dxfId="14" priority="26">
      <formula>IF(AN3="Không đạt",TRUE,FALSE)</formula>
    </cfRule>
  </conditionalFormatting>
  <conditionalFormatting sqref="B2">
    <cfRule type="duplicateValues" dxfId="13" priority="11"/>
    <cfRule type="duplicateValues" dxfId="12" priority="14"/>
  </conditionalFormatting>
  <conditionalFormatting sqref="C2">
    <cfRule type="duplicateValues" dxfId="11" priority="10"/>
    <cfRule type="duplicateValues" dxfId="10" priority="13"/>
  </conditionalFormatting>
  <conditionalFormatting sqref="M2">
    <cfRule type="duplicateValues" dxfId="9" priority="12"/>
  </conditionalFormatting>
  <conditionalFormatting sqref="A2">
    <cfRule type="expression" dxfId="8" priority="1">
      <formula>IF(AA2="Blacklist",TRUE,FALSE)</formula>
    </cfRule>
    <cfRule type="expression" dxfId="7" priority="3">
      <formula>IF(BY2="Cancel",TRUE,FALSE)</formula>
    </cfRule>
    <cfRule type="expression" dxfId="6" priority="4">
      <formula>IF(BY2="Done",TRUE,FALSE)</formula>
    </cfRule>
    <cfRule type="expression" dxfId="5" priority="5">
      <formula>IF(AN2="Không đến",TRUE,FALSE)</formula>
    </cfRule>
    <cfRule type="expression" dxfId="4" priority="6">
      <formula>IF(AN2="Phù hợp vị trí khác",TRUE,FALSE)</formula>
    </cfRule>
    <cfRule type="expression" dxfId="3" priority="7">
      <formula>IF(AN2="Đạt",TRUE,FALSE)</formula>
    </cfRule>
    <cfRule type="expression" dxfId="2" priority="8">
      <formula>IF(AN2="Không đạt",TRUE,FALSE)</formula>
    </cfRule>
  </conditionalFormatting>
  <conditionalFormatting sqref="BV2">
    <cfRule type="cellIs" dxfId="1" priority="9" operator="greaterThanOrEqual">
      <formula>TODAY()</formula>
    </cfRule>
  </conditionalFormatting>
  <conditionalFormatting sqref="AK2">
    <cfRule type="cellIs" dxfId="0" priority="2" operator="greaterThanOrEqual">
      <formula>TODAY()</formula>
    </cfRule>
  </conditionalFormatting>
  <dataValidations count="29">
    <dataValidation allowBlank="1" showInputMessage="1" showErrorMessage="1" promptTitle="Ngày tính SLA:" prompt="Ngày UV xác nhận đi làm / Ngày gửi thông tin cho PTNL/Ngày GĐK phê duyệt_x000a_" sqref="BU1" xr:uid="{B2D9B254-959D-4927-9B20-46CB0793A83B}"/>
    <dataValidation type="date" operator="greaterThan" allowBlank="1" showInputMessage="1" showErrorMessage="1" errorTitle="Tập trung vào" error="Nhập lại đê!!! Never Give Up" prompt="Điền định dạng dd/mm/yyyy_x000a_" sqref="BV1:BV4" xr:uid="{89FE4DAE-E238-40D8-AA5D-BE025E1A4657}">
      <formula1>BU1</formula1>
    </dataValidation>
    <dataValidation type="date" allowBlank="1" showInputMessage="1" showErrorMessage="1" errorTitle="Tập trung vào" error="Nhập lại đê!!! Never Give Up" prompt="Điền định dạng dd/mm/yyyy_x000a_" sqref="BU2:BU4" xr:uid="{57141BC8-17C3-448C-B6D8-7706018B713E}">
      <formula1>BS2</formula1>
      <formula2>TODAY()</formula2>
    </dataValidation>
    <dataValidation type="date" allowBlank="1" showInputMessage="1" showErrorMessage="1" errorTitle="Tập trung vào" error="Nhập lại đê!!! Never Give Up" prompt="Điền định dạng dd/mm/yyyy_x000a_" sqref="BC2:BC4" xr:uid="{FF15FCEB-2819-493C-9373-7EB67A85BE23}">
      <formula1>BB2</formula1>
      <formula2>TODAY()</formula2>
    </dataValidation>
    <dataValidation operator="greaterThan" allowBlank="1" showInputMessage="1" showErrorMessage="1" sqref="BW1 BW3:BW4" xr:uid="{876334CD-0423-4322-93C3-F1CC9EC37B9E}"/>
    <dataValidation type="date" operator="greaterThan" allowBlank="1" showInputMessage="1" showErrorMessage="1" errorTitle="Lưu ý!!!" error="Chỗ này chỉ điền ngày thôi" prompt="Điền định dạng dd/mm/yyyy_x000a_" sqref="BK2:BL4" xr:uid="{A6700670-8DEE-45D9-A89A-E38BE2D511D8}">
      <formula1>1</formula1>
    </dataValidation>
    <dataValidation type="list" allowBlank="1" showInputMessage="1" showErrorMessage="1" sqref="BP1:BP4" xr:uid="{E9E0FA68-0ECA-454E-83BC-CDED500E96A9}">
      <formula1>"1,2,3,4,5"</formula1>
    </dataValidation>
    <dataValidation type="list" allowBlank="1" showInputMessage="1" showErrorMessage="1" sqref="BO1:BO4" xr:uid="{50688C04-AA50-4D4F-9DCA-8DC7F66F9288}">
      <formula1>"A,B,C,D"</formula1>
    </dataValidation>
    <dataValidation type="list" allowBlank="1" showInputMessage="1" showErrorMessage="1" sqref="BR3:BR4" xr:uid="{9CD3B55F-A8EE-40DC-BD6D-73EF8F18D1A3}">
      <formula1>"Đã gửi Email, Đã gửi PTNL"</formula1>
    </dataValidation>
    <dataValidation type="list" allowBlank="1" showInputMessage="1" showErrorMessage="1" sqref="BX3:BX4" xr:uid="{01579CDF-2BF1-4836-8528-110A20E11B4C}">
      <formula1>"Done"</formula1>
    </dataValidation>
    <dataValidation type="list" allowBlank="1" showInputMessage="1" showErrorMessage="1" sqref="BD2:BE4" xr:uid="{C95DCEB6-58A5-4C51-9AF7-FB36FCE9DAD6}">
      <formula1>"1,2,3,4,5,6,7,8,9,10"</formula1>
    </dataValidation>
    <dataValidation type="list" allowBlank="1" showInputMessage="1" showErrorMessage="1" sqref="E2:E4" xr:uid="{C91829E6-17D0-4F98-AFAB-FEC86D4AB173}">
      <formula1>"Nam, Nữ"</formula1>
    </dataValidation>
    <dataValidation type="date" operator="greaterThan" allowBlank="1" showErrorMessage="1" errorTitle="Lưu ý!!!" error="Chỗ này chỉ điền ngày thôi" prompt="_x000a_" sqref="D2:D4" xr:uid="{A458E99D-87CA-4250-BB07-CF0B96FCAC14}">
      <formula1>1</formula1>
    </dataValidation>
    <dataValidation type="date" operator="greaterThan" allowBlank="1" showErrorMessage="1" errorTitle="Lưu ý!!!" error="Chỗ này chỉ điền ngày thôi" sqref="AK2:AK4" xr:uid="{C861D8E4-3E30-4D2A-84E3-60B3289AC067}">
      <formula1>1</formula1>
    </dataValidation>
    <dataValidation type="list" allowBlank="1" showInputMessage="1" showErrorMessage="1" sqref="BF1:BF4" xr:uid="{25EC7330-E439-446A-BB3B-6F4EA3DAB6BE}">
      <formula1>"85,90,100"</formula1>
    </dataValidation>
    <dataValidation type="date" allowBlank="1" showInputMessage="1" showErrorMessage="1" errorTitle="Tập trung vào" error="Nhập lại đê!!! Never Give Up" prompt="Điền định dạng dd/mm/yyyy_x000a_" sqref="BB3:BB4" xr:uid="{CD45DA5B-384A-4167-BC28-DFB9C4F37CB6}">
      <formula1>AO3</formula1>
      <formula2>TODAY()</formula2>
    </dataValidation>
    <dataValidation type="date" allowBlank="1" showInputMessage="1" showErrorMessage="1" errorTitle="Tập trung vào" error="Nhập lại đê!!! Never Give Up" prompt="Điền định dạng dd/mm/yyyy_x000a_" sqref="BS2:BS4" xr:uid="{411AA75C-13E5-4B0C-AD83-13F490ADD981}">
      <formula1>BC2</formula1>
      <formula2>TODAY()</formula2>
    </dataValidation>
    <dataValidation type="list" allowBlank="1" showInputMessage="1" showErrorMessage="1" sqref="AN1:AN4" xr:uid="{01E35F9E-FC5A-4ED6-B987-1D0363F5F837}">
      <formula1>"Đạt, Cân nhắc, Không đến, Không đạt, Phù hợp với vị trí khác"</formula1>
    </dataValidation>
    <dataValidation type="list" allowBlank="1" showInputMessage="1" showErrorMessage="1" sqref="AQ2:AQ4" xr:uid="{AE7F30D7-B01E-4DC6-97E7-1AB0E9F1796B}">
      <formula1>"Level 1,Level 2,Level 3"</formula1>
    </dataValidation>
    <dataValidation type="list" errorStyle="information" allowBlank="1" showInputMessage="1" sqref="AV3:AV4" xr:uid="{25BEDB3C-A4CE-41DF-8C43-968FBDBC8A4F}">
      <formula1>"Nội bộ, Bằng giỏi, Bằng Xuất sắc, RMTS, Có offer của ngân hàng khác, Ngoại lệ trình CEO"</formula1>
    </dataValidation>
    <dataValidation type="list" allowBlank="1" showInputMessage="1" showErrorMessage="1" sqref="BM1" xr:uid="{D1E4E0DC-FD2D-4032-A3F9-E9532B7F8F95}">
      <formula1>"0,6,1"</formula1>
    </dataValidation>
    <dataValidation allowBlank="1" sqref="F1:H1" xr:uid="{B0B5573B-4460-47CC-B475-B916B74E1A56}"/>
    <dataValidation type="date" operator="greaterThan" allowBlank="1" showInputMessage="1" showErrorMessage="1" errorTitle="Chú ý" error="Cột này chỉ để điền ngày tháng năm" sqref="AK1" xr:uid="{5236B864-AA0B-4E9E-A6E3-343AC143E695}">
      <formula1>40179</formula1>
    </dataValidation>
    <dataValidation errorStyle="information" allowBlank="1" showInputMessage="1" sqref="AV1" xr:uid="{368B8071-4B90-4C53-8A85-1DE27F406331}"/>
    <dataValidation type="list" operator="greaterThan" allowBlank="1" showInputMessage="1" sqref="BW2" xr:uid="{BC848F26-A5B8-4E18-9B09-660397EF7BAF}">
      <formula1>"Pending"</formula1>
    </dataValidation>
    <dataValidation type="list" allowBlank="1" showInputMessage="1" showErrorMessage="1" sqref="BX2" xr:uid="{A01FF674-66FE-41A7-9051-756259ECD385}">
      <formula1>"Done,Pending"</formula1>
    </dataValidation>
    <dataValidation type="list" allowBlank="1" showInputMessage="1" sqref="BR2" xr:uid="{35AB6598-E1CE-4674-B4C3-1E944D576B66}">
      <formula1>"Đã gửi Email, Đã gửi PTNL, Pending"</formula1>
    </dataValidation>
    <dataValidation type="list" allowBlank="1" showInputMessage="1" showErrorMessage="1" sqref="BG2" xr:uid="{4DD7C314-3620-4BC4-949A-8CA05AB2BA64}">
      <formula1>"NSLD, LHQ"</formula1>
    </dataValidation>
    <dataValidation type="date" allowBlank="1" showInputMessage="1" showErrorMessage="1" errorTitle="Tập trung vào" error="Nhập lại đê!!! Never Give Up" prompt="Điền định dạng dd/mm/yyyy_x000a_" sqref="BB2" xr:uid="{3BCDCC0D-8015-4CB7-8642-6E2DC0459325}">
      <formula1>AK2</formula1>
      <formula2>TODAY()</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V21"/>
  <sheetViews>
    <sheetView tabSelected="1" view="pageBreakPreview" zoomScaleNormal="70" zoomScaleSheetLayoutView="100" workbookViewId="0">
      <selection activeCell="S17" sqref="S17"/>
    </sheetView>
  </sheetViews>
  <sheetFormatPr defaultColWidth="9" defaultRowHeight="14" x14ac:dyDescent="0.3"/>
  <cols>
    <col min="1" max="1" width="5.08984375" style="7" customWidth="1"/>
    <col min="2" max="2" width="17.36328125" style="7" customWidth="1"/>
    <col min="3" max="3" width="25.6328125" style="7" customWidth="1"/>
    <col min="4" max="4" width="12.90625" style="7" customWidth="1"/>
    <col min="5" max="6" width="13.36328125" style="7" customWidth="1"/>
    <col min="7" max="8" width="15.26953125" style="7" customWidth="1"/>
    <col min="9" max="9" width="35.6328125" style="7" customWidth="1"/>
    <col min="10" max="12" width="8.08984375" style="7" customWidth="1"/>
    <col min="13" max="15" width="6.26953125" style="7" customWidth="1"/>
    <col min="16" max="16" width="17.26953125" style="7" customWidth="1"/>
    <col min="17" max="17" width="22" style="7" customWidth="1"/>
    <col min="18" max="18" width="2" style="7" customWidth="1"/>
    <col min="19" max="23" width="9" style="7" customWidth="1"/>
    <col min="24" max="16384" width="9" style="7"/>
  </cols>
  <sheetData>
    <row r="1" spans="1:22" ht="15.5" x14ac:dyDescent="0.3">
      <c r="A1" s="1"/>
      <c r="B1" s="1"/>
      <c r="C1" s="1"/>
      <c r="D1" s="1"/>
      <c r="E1" s="11"/>
      <c r="F1" s="11"/>
      <c r="G1" s="1"/>
      <c r="H1" s="1"/>
      <c r="I1" s="12"/>
      <c r="J1" s="1"/>
      <c r="K1" s="1"/>
      <c r="L1" s="1"/>
      <c r="M1" s="1"/>
      <c r="N1" s="1"/>
      <c r="O1" s="1"/>
      <c r="P1" s="1"/>
      <c r="Q1" s="12"/>
      <c r="V1" s="8" t="s">
        <v>25</v>
      </c>
    </row>
    <row r="2" spans="1:22" ht="15.5" x14ac:dyDescent="0.3">
      <c r="A2" s="1"/>
      <c r="B2" s="1"/>
      <c r="C2" s="1"/>
      <c r="D2" s="1"/>
      <c r="E2" s="11"/>
      <c r="F2" s="11"/>
      <c r="G2" s="1"/>
      <c r="H2" s="1"/>
      <c r="I2" s="12"/>
      <c r="J2" s="1"/>
      <c r="K2" s="1"/>
      <c r="L2" s="1"/>
      <c r="M2" s="1"/>
      <c r="N2" s="1"/>
      <c r="O2" s="1"/>
      <c r="P2" s="1"/>
      <c r="Q2" s="12"/>
      <c r="V2" s="7">
        <v>4</v>
      </c>
    </row>
    <row r="3" spans="1:22" ht="15.5" x14ac:dyDescent="0.3">
      <c r="A3" s="1"/>
      <c r="B3" s="1"/>
      <c r="C3" s="1"/>
      <c r="D3" s="1"/>
      <c r="E3" s="1"/>
      <c r="F3" s="1"/>
      <c r="G3" s="1"/>
      <c r="H3" s="1"/>
      <c r="I3" s="12"/>
      <c r="J3" s="1"/>
      <c r="K3" s="1"/>
      <c r="L3" s="1"/>
      <c r="M3" s="1"/>
      <c r="N3" s="1"/>
      <c r="O3" s="1"/>
      <c r="P3" s="1"/>
      <c r="Q3" s="12"/>
    </row>
    <row r="4" spans="1:22" ht="15.5" x14ac:dyDescent="0.3">
      <c r="A4" s="1"/>
      <c r="B4" s="1"/>
      <c r="C4" s="1"/>
      <c r="D4" s="1"/>
      <c r="E4" s="1"/>
      <c r="F4" s="1"/>
      <c r="G4" s="1"/>
      <c r="H4" s="1"/>
      <c r="I4" s="12"/>
      <c r="J4" s="1"/>
      <c r="K4" s="1"/>
      <c r="L4" s="1"/>
      <c r="M4" s="1"/>
      <c r="N4" s="1"/>
      <c r="O4" s="1"/>
      <c r="P4" s="1"/>
      <c r="Q4" s="12"/>
    </row>
    <row r="5" spans="1:22" ht="19" x14ac:dyDescent="0.3">
      <c r="A5" s="1" t="s">
        <v>0</v>
      </c>
      <c r="B5" s="1"/>
      <c r="C5" s="1"/>
      <c r="D5" s="1"/>
      <c r="E5" s="1"/>
      <c r="F5" s="1"/>
      <c r="G5" s="13"/>
      <c r="H5" s="13" t="s">
        <v>1</v>
      </c>
      <c r="I5" s="14"/>
      <c r="J5" s="15"/>
      <c r="K5" s="15"/>
      <c r="L5" s="15"/>
      <c r="M5" s="15"/>
      <c r="N5" s="15"/>
      <c r="O5" s="15"/>
      <c r="P5" s="15"/>
      <c r="Q5" s="12"/>
    </row>
    <row r="6" spans="1:22" ht="20" x14ac:dyDescent="0.3">
      <c r="A6" s="1"/>
      <c r="B6" s="1"/>
      <c r="C6" s="1"/>
      <c r="D6" s="1"/>
      <c r="E6" s="1"/>
      <c r="F6" s="1"/>
      <c r="G6" s="13"/>
      <c r="H6" s="1"/>
      <c r="I6" s="14"/>
      <c r="J6" s="16"/>
      <c r="K6" s="16"/>
      <c r="L6" s="16"/>
      <c r="M6" s="16"/>
      <c r="N6" s="16"/>
      <c r="O6" s="16"/>
      <c r="P6" s="16"/>
      <c r="Q6" s="12"/>
    </row>
    <row r="7" spans="1:22" ht="19" x14ac:dyDescent="0.3">
      <c r="A7" s="1"/>
      <c r="B7" s="1"/>
      <c r="C7" s="1"/>
      <c r="D7" s="1"/>
      <c r="E7" s="1"/>
      <c r="F7" s="1"/>
      <c r="G7" s="13"/>
      <c r="H7" s="17" t="s">
        <v>2</v>
      </c>
      <c r="I7" s="21"/>
      <c r="J7" s="19"/>
      <c r="K7" s="19"/>
      <c r="L7" s="19"/>
      <c r="M7" s="19"/>
      <c r="N7" s="19"/>
      <c r="O7" s="19"/>
      <c r="P7" s="19"/>
      <c r="Q7" s="12"/>
    </row>
    <row r="8" spans="1:22" ht="17.649999999999999" customHeight="1" x14ac:dyDescent="0.3">
      <c r="A8" s="1"/>
      <c r="B8" s="1"/>
      <c r="C8" s="1"/>
      <c r="D8" s="1"/>
      <c r="E8" s="1"/>
      <c r="F8" s="1"/>
      <c r="G8" s="13"/>
      <c r="H8" s="18"/>
      <c r="I8" s="21"/>
      <c r="J8" s="18"/>
      <c r="K8" s="18"/>
      <c r="L8" s="18"/>
      <c r="M8" s="18"/>
      <c r="N8" s="18"/>
      <c r="O8" s="18"/>
      <c r="P8" s="18"/>
      <c r="Q8" s="12"/>
    </row>
    <row r="9" spans="1:22" ht="19" x14ac:dyDescent="0.3">
      <c r="A9" s="3" t="s">
        <v>3</v>
      </c>
      <c r="B9" s="20"/>
      <c r="C9" s="20"/>
      <c r="D9" s="1"/>
      <c r="E9" s="20">
        <f>MAX(A:A)</f>
        <v>1</v>
      </c>
      <c r="F9" s="20"/>
      <c r="G9" s="13"/>
      <c r="H9" s="21" t="s">
        <v>4</v>
      </c>
      <c r="I9" s="21"/>
      <c r="J9" s="19"/>
      <c r="K9" s="19"/>
      <c r="L9" s="19"/>
      <c r="M9" s="19"/>
      <c r="N9" s="19"/>
      <c r="O9" s="19"/>
      <c r="P9" s="19"/>
      <c r="Q9" s="12"/>
    </row>
    <row r="10" spans="1:22" ht="19" x14ac:dyDescent="0.3">
      <c r="A10" s="3" t="s">
        <v>5</v>
      </c>
      <c r="B10" s="20"/>
      <c r="C10" s="20"/>
      <c r="D10" s="1"/>
      <c r="E10" s="20">
        <v>0</v>
      </c>
      <c r="F10" s="20"/>
      <c r="G10" s="13"/>
      <c r="H10" s="22"/>
      <c r="I10" s="14"/>
      <c r="J10" s="18"/>
      <c r="K10" s="18"/>
      <c r="L10" s="18"/>
      <c r="M10" s="21"/>
      <c r="N10" s="18"/>
      <c r="O10" s="1"/>
      <c r="P10" s="1"/>
      <c r="Q10" s="12"/>
    </row>
    <row r="11" spans="1:22" ht="19" x14ac:dyDescent="0.3">
      <c r="A11" s="3" t="s">
        <v>18</v>
      </c>
      <c r="B11" s="20"/>
      <c r="C11" s="20"/>
      <c r="E11" s="20">
        <f>E9-E10</f>
        <v>1</v>
      </c>
      <c r="F11" s="20"/>
      <c r="G11" s="13"/>
      <c r="H11" s="23" t="s">
        <v>6</v>
      </c>
      <c r="I11" s="24" t="str">
        <f ca="1">TEXT(DAY(TODAY()),"0#")&amp;"/"&amp;TEXT(MONTH(TODAY()),"0#")&amp;"/"&amp;YEAR(TODAY())</f>
        <v>28/03/2024</v>
      </c>
      <c r="K11" s="25"/>
      <c r="L11" s="24"/>
      <c r="N11" s="26"/>
      <c r="O11" s="25"/>
      <c r="P11" s="26"/>
    </row>
    <row r="12" spans="1:22" x14ac:dyDescent="0.3">
      <c r="A12" s="4"/>
      <c r="B12" s="87"/>
      <c r="C12" s="87"/>
      <c r="D12" s="20"/>
      <c r="E12" s="20"/>
      <c r="F12" s="20"/>
      <c r="G12" s="23"/>
      <c r="H12" s="22"/>
      <c r="I12" s="27"/>
      <c r="J12" s="27"/>
      <c r="K12" s="27"/>
      <c r="L12" s="28"/>
      <c r="M12" s="29"/>
      <c r="N12" s="28"/>
      <c r="O12" s="28"/>
      <c r="P12" s="29"/>
      <c r="Q12" s="29"/>
    </row>
    <row r="13" spans="1:22" x14ac:dyDescent="0.3">
      <c r="A13" s="5"/>
      <c r="B13" s="30"/>
      <c r="C13" s="30"/>
      <c r="D13" s="30"/>
      <c r="E13" s="30"/>
      <c r="F13" s="30"/>
      <c r="G13" s="31"/>
      <c r="H13" s="32"/>
      <c r="I13" s="33"/>
      <c r="J13" s="33"/>
      <c r="K13" s="33"/>
      <c r="L13" s="34"/>
      <c r="M13" s="35"/>
      <c r="N13" s="36"/>
      <c r="O13" s="36"/>
      <c r="P13" s="35"/>
      <c r="Q13" s="35"/>
    </row>
    <row r="14" spans="1:22" ht="15" customHeight="1" x14ac:dyDescent="0.3">
      <c r="A14" s="88" t="s">
        <v>7</v>
      </c>
      <c r="B14" s="88" t="s">
        <v>19</v>
      </c>
      <c r="C14" s="88" t="s">
        <v>8</v>
      </c>
      <c r="D14" s="88" t="s">
        <v>9</v>
      </c>
      <c r="E14" s="88" t="s">
        <v>10</v>
      </c>
      <c r="F14" s="88" t="s">
        <v>27</v>
      </c>
      <c r="G14" s="88" t="s">
        <v>11</v>
      </c>
      <c r="H14" s="88" t="s">
        <v>12</v>
      </c>
      <c r="I14" s="88" t="s">
        <v>20</v>
      </c>
      <c r="J14" s="88" t="s">
        <v>21</v>
      </c>
      <c r="K14" s="88" t="s">
        <v>26</v>
      </c>
      <c r="L14" s="88" t="s">
        <v>22</v>
      </c>
      <c r="M14" s="88" t="s">
        <v>13</v>
      </c>
      <c r="N14" s="88" t="s">
        <v>23</v>
      </c>
      <c r="O14" s="88" t="s">
        <v>14</v>
      </c>
      <c r="P14" s="89" t="s">
        <v>15</v>
      </c>
      <c r="Q14" s="88" t="s">
        <v>16</v>
      </c>
    </row>
    <row r="15" spans="1:22" ht="37.5" customHeight="1" x14ac:dyDescent="0.3">
      <c r="A15" s="88"/>
      <c r="B15" s="88"/>
      <c r="C15" s="88"/>
      <c r="D15" s="88"/>
      <c r="E15" s="88"/>
      <c r="F15" s="88"/>
      <c r="G15" s="88"/>
      <c r="H15" s="88"/>
      <c r="I15" s="88"/>
      <c r="J15" s="88"/>
      <c r="K15" s="88"/>
      <c r="L15" s="88"/>
      <c r="M15" s="88"/>
      <c r="N15" s="88"/>
      <c r="O15" s="88"/>
      <c r="P15" s="90"/>
      <c r="Q15" s="88"/>
    </row>
    <row r="16" spans="1:22" x14ac:dyDescent="0.3">
      <c r="A16" s="6" t="s">
        <v>24</v>
      </c>
      <c r="B16" s="6"/>
      <c r="C16" s="6"/>
      <c r="D16" s="6"/>
      <c r="E16" s="6"/>
      <c r="F16" s="6"/>
      <c r="G16" s="6"/>
      <c r="H16" s="6"/>
      <c r="I16" s="6"/>
      <c r="J16" s="6"/>
      <c r="K16" s="6"/>
      <c r="L16" s="6"/>
      <c r="M16" s="6"/>
      <c r="N16" s="6"/>
      <c r="O16" s="6"/>
      <c r="P16" s="6"/>
      <c r="Q16" s="6"/>
    </row>
    <row r="17" spans="1:17" ht="81" x14ac:dyDescent="0.3">
      <c r="A17" s="9">
        <v>1</v>
      </c>
      <c r="B17" s="9" t="s">
        <v>131</v>
      </c>
      <c r="C17" s="84" t="s">
        <v>137</v>
      </c>
      <c r="D17" s="37" t="s">
        <v>138</v>
      </c>
      <c r="E17" s="82" t="s">
        <v>106</v>
      </c>
      <c r="F17" s="9" t="s">
        <v>108</v>
      </c>
      <c r="G17" s="37" t="s">
        <v>109</v>
      </c>
      <c r="H17" s="37" t="s">
        <v>110</v>
      </c>
      <c r="I17" s="37" t="s">
        <v>125</v>
      </c>
      <c r="J17" s="9" t="s">
        <v>133</v>
      </c>
      <c r="K17" s="9">
        <v>6.6666666666666696</v>
      </c>
      <c r="L17" s="9">
        <v>6.2</v>
      </c>
      <c r="M17" s="9"/>
      <c r="N17" s="9"/>
      <c r="O17" s="9"/>
      <c r="P17" s="37" t="s">
        <v>139</v>
      </c>
      <c r="Q17" s="37" t="s">
        <v>140</v>
      </c>
    </row>
    <row r="18" spans="1:17" ht="37.5" customHeight="1" x14ac:dyDescent="0.3">
      <c r="A18" s="86" t="str">
        <f>IF(V2=TRUE,V1,"")</f>
        <v/>
      </c>
      <c r="B18" s="86"/>
      <c r="C18" s="86"/>
      <c r="D18" s="86"/>
      <c r="E18" s="86"/>
      <c r="F18" s="86"/>
      <c r="G18" s="86"/>
      <c r="H18" s="86"/>
      <c r="I18" s="86"/>
      <c r="J18" s="86"/>
      <c r="K18" s="86"/>
      <c r="L18" s="86"/>
      <c r="M18" s="86"/>
      <c r="N18" s="86"/>
      <c r="O18" s="86"/>
      <c r="P18" s="86"/>
      <c r="Q18" s="86"/>
    </row>
    <row r="19" spans="1:17" ht="52.5" customHeight="1" x14ac:dyDescent="0.3">
      <c r="A19" s="85" t="str">
        <f>IF(V2=1,"TỔNG GIÁM ĐỐC","")</f>
        <v/>
      </c>
      <c r="B19" s="85"/>
      <c r="C19" s="85"/>
      <c r="D19" s="85"/>
      <c r="E19" s="85"/>
      <c r="F19" s="85"/>
      <c r="G19" s="85"/>
      <c r="H19" s="38"/>
      <c r="I19" s="39"/>
      <c r="J19" s="91" t="str">
        <f>IF(V2=2,"GIÁM ĐỐC NHÂN SỰ",IF(V2=3,"THÀNH VIÊN BAN ĐIỀU HÀNH",IF(V2=4,"THÀNH VIÊN BAN ĐIỀU HÀNH","Giám đốc Khối….........")))</f>
        <v>THÀNH VIÊN BAN ĐIỀU HÀNH</v>
      </c>
      <c r="K19" s="91"/>
      <c r="L19" s="91"/>
      <c r="M19" s="91"/>
      <c r="N19" s="91"/>
      <c r="O19" s="91"/>
      <c r="P19" s="91"/>
      <c r="Q19" s="91"/>
    </row>
    <row r="20" spans="1:17" ht="52.5" customHeight="1" x14ac:dyDescent="0.3">
      <c r="A20" s="2"/>
      <c r="B20" s="2"/>
      <c r="C20" s="38" t="s">
        <v>17</v>
      </c>
      <c r="D20" s="2"/>
      <c r="E20" s="40"/>
      <c r="F20" s="40"/>
      <c r="G20" s="38"/>
      <c r="H20" s="38"/>
      <c r="I20" s="41"/>
      <c r="J20" s="2"/>
      <c r="K20" s="2"/>
      <c r="L20" s="2"/>
      <c r="M20" s="2"/>
      <c r="N20" s="2"/>
      <c r="O20" s="2"/>
      <c r="P20" s="2"/>
      <c r="Q20" s="41"/>
    </row>
    <row r="21" spans="1:17" ht="52.5" customHeight="1" x14ac:dyDescent="0.3">
      <c r="A21" s="85" t="str">
        <f>IF(V2=1,"Phạm Như Ánh","")</f>
        <v/>
      </c>
      <c r="B21" s="85"/>
      <c r="C21" s="85"/>
      <c r="D21" s="85"/>
      <c r="E21" s="85"/>
      <c r="F21" s="85"/>
      <c r="G21" s="85"/>
      <c r="H21" s="10"/>
      <c r="I21" s="42"/>
      <c r="J21" s="85" t="str">
        <f>IF(V2=2,"Đặng Minh Huyền",IF(V2=3,"Vũ Thành Trung",IF(V2=4,"Vũ Hồng Phú","…........................................")))</f>
        <v>Vũ Hồng Phú</v>
      </c>
      <c r="K21" s="85"/>
      <c r="L21" s="85"/>
      <c r="M21" s="85"/>
      <c r="N21" s="85"/>
      <c r="O21" s="85"/>
      <c r="P21" s="85"/>
      <c r="Q21" s="85"/>
    </row>
  </sheetData>
  <mergeCells count="23">
    <mergeCell ref="A19:G19"/>
    <mergeCell ref="P14:P15"/>
    <mergeCell ref="O14:O15"/>
    <mergeCell ref="Q14:Q15"/>
    <mergeCell ref="J19:Q19"/>
    <mergeCell ref="K14:K15"/>
    <mergeCell ref="F14:F15"/>
    <mergeCell ref="A21:G21"/>
    <mergeCell ref="A18:Q18"/>
    <mergeCell ref="B12:C12"/>
    <mergeCell ref="A14:A15"/>
    <mergeCell ref="B14:B15"/>
    <mergeCell ref="C14:C15"/>
    <mergeCell ref="D14:D15"/>
    <mergeCell ref="J21:Q21"/>
    <mergeCell ref="H14:H15"/>
    <mergeCell ref="I14:I15"/>
    <mergeCell ref="J14:J15"/>
    <mergeCell ref="L14:L15"/>
    <mergeCell ref="M14:M15"/>
    <mergeCell ref="N14:N15"/>
    <mergeCell ref="G14:G15"/>
    <mergeCell ref="E14:E15"/>
  </mergeCells>
  <pageMargins left="0.2" right="0.2" top="0.2" bottom="0.75" header="0.3" footer="0.3"/>
  <pageSetup scale="5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XuatPDF">
                <anchor moveWithCells="1" sizeWithCells="1">
                  <from>
                    <xdr:col>17</xdr:col>
                    <xdr:colOff>152400</xdr:colOff>
                    <xdr:row>4</xdr:row>
                    <xdr:rowOff>0</xdr:rowOff>
                  </from>
                  <to>
                    <xdr:col>20</xdr:col>
                    <xdr:colOff>0</xdr:colOff>
                    <xdr:row>6</xdr:row>
                    <xdr:rowOff>0</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18</xdr:col>
                    <xdr:colOff>0</xdr:colOff>
                    <xdr:row>6</xdr:row>
                    <xdr:rowOff>177800</xdr:rowOff>
                  </from>
                  <to>
                    <xdr:col>20</xdr:col>
                    <xdr:colOff>57150</xdr:colOff>
                    <xdr:row>7</xdr:row>
                    <xdr:rowOff>133350</xdr:rowOff>
                  </to>
                </anchor>
              </controlPr>
            </control>
          </mc:Choice>
        </mc:AlternateContent>
        <mc:AlternateContent xmlns:mc="http://schemas.openxmlformats.org/markup-compatibility/2006">
          <mc:Choice Requires="x14">
            <control shapeId="1029" r:id="rId6" name="Option Button 5">
              <controlPr defaultSize="0" autoFill="0" autoLine="0" autoPict="0">
                <anchor moveWithCells="1">
                  <from>
                    <xdr:col>18</xdr:col>
                    <xdr:colOff>0</xdr:colOff>
                    <xdr:row>7</xdr:row>
                    <xdr:rowOff>215900</xdr:rowOff>
                  </from>
                  <to>
                    <xdr:col>20</xdr:col>
                    <xdr:colOff>50800</xdr:colOff>
                    <xdr:row>8</xdr:row>
                    <xdr:rowOff>177800</xdr:rowOff>
                  </to>
                </anchor>
              </controlPr>
            </control>
          </mc:Choice>
        </mc:AlternateContent>
        <mc:AlternateContent xmlns:mc="http://schemas.openxmlformats.org/markup-compatibility/2006">
          <mc:Choice Requires="x14">
            <control shapeId="1030" r:id="rId7" name="Option Button 6">
              <controlPr defaultSize="0" autoFill="0" autoLine="0" autoPict="0">
                <anchor moveWithCells="1">
                  <from>
                    <xdr:col>18</xdr:col>
                    <xdr:colOff>0</xdr:colOff>
                    <xdr:row>9</xdr:row>
                    <xdr:rowOff>25400</xdr:rowOff>
                  </from>
                  <to>
                    <xdr:col>19</xdr:col>
                    <xdr:colOff>609600</xdr:colOff>
                    <xdr:row>9</xdr:row>
                    <xdr:rowOff>228600</xdr:rowOff>
                  </to>
                </anchor>
              </controlPr>
            </control>
          </mc:Choice>
        </mc:AlternateContent>
        <mc:AlternateContent xmlns:mc="http://schemas.openxmlformats.org/markup-compatibility/2006">
          <mc:Choice Requires="x14">
            <control shapeId="1031" r:id="rId8" name="Option Button 7">
              <controlPr defaultSize="0" autoFill="0" autoLine="0" autoPict="0">
                <anchor moveWithCells="1">
                  <from>
                    <xdr:col>18</xdr:col>
                    <xdr:colOff>12700</xdr:colOff>
                    <xdr:row>10</xdr:row>
                    <xdr:rowOff>19050</xdr:rowOff>
                  </from>
                  <to>
                    <xdr:col>20</xdr:col>
                    <xdr:colOff>114300</xdr:colOff>
                    <xdr:row>11</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Main</vt:lpstr>
      <vt:lpstr>DS</vt:lpstr>
      <vt:lpstr>Data</vt:lpstr>
      <vt:lpstr>Data!Print_Area</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Tung Lam.</dc:creator>
  <cp:lastModifiedBy>Nguyen Tung Lam.</cp:lastModifiedBy>
  <cp:lastPrinted>2024-03-28T07:51:36Z</cp:lastPrinted>
  <dcterms:created xsi:type="dcterms:W3CDTF">2015-06-05T18:17:20Z</dcterms:created>
  <dcterms:modified xsi:type="dcterms:W3CDTF">2024-03-28T07:53:35Z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5555f46-613e-4f1a-a4bc-536c99acd73a_Enabled">
    <vt:lpwstr>true</vt:lpwstr>
  </property>
  <property fmtid="{D5CDD505-2E9C-101B-9397-08002B2CF9AE}" pid="3" name="MSIP_Label_35555f46-613e-4f1a-a4bc-536c99acd73a_SetDate">
    <vt:lpwstr>2022-12-22T09:00:18Z</vt:lpwstr>
  </property>
  <property fmtid="{D5CDD505-2E9C-101B-9397-08002B2CF9AE}" pid="4" name="MSIP_Label_35555f46-613e-4f1a-a4bc-536c99acd73a_Method">
    <vt:lpwstr>Standard</vt:lpwstr>
  </property>
  <property fmtid="{D5CDD505-2E9C-101B-9397-08002B2CF9AE}" pid="5" name="MSIP_Label_35555f46-613e-4f1a-a4bc-536c99acd73a_Name">
    <vt:lpwstr>35555f46-613e-4f1a-a4bc-536c99acd73a</vt:lpwstr>
  </property>
  <property fmtid="{D5CDD505-2E9C-101B-9397-08002B2CF9AE}" pid="6" name="MSIP_Label_35555f46-613e-4f1a-a4bc-536c99acd73a_SiteId">
    <vt:lpwstr>2b931bbb-a7e2-453c-98f9-554f1ac0414d</vt:lpwstr>
  </property>
  <property fmtid="{D5CDD505-2E9C-101B-9397-08002B2CF9AE}" pid="7" name="MSIP_Label_35555f46-613e-4f1a-a4bc-536c99acd73a_ActionId">
    <vt:lpwstr>0c46edf2-8396-4e8e-b842-5496692aff79</vt:lpwstr>
  </property>
  <property fmtid="{D5CDD505-2E9C-101B-9397-08002B2CF9AE}" pid="8" name="MSIP_Label_35555f46-613e-4f1a-a4bc-536c99acd73a_ContentBits">
    <vt:lpwstr>0</vt:lpwstr>
  </property>
</Properties>
</file>